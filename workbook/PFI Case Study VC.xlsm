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Default Extension="png" ContentType="image/png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4" Type="http://schemas.openxmlformats.org/officeDocument/2006/relationships/custom-properties" Target="docProps/custom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4815" yWindow="4830" windowWidth="32475" windowHeight="14640" tabRatio="719" activeTab="0"/>
  </bookViews>
  <sheets>
    <sheet name="InpC" sheetId="1" r:id="rId3"/>
    <sheet name="Time" sheetId="23" r:id="rId4"/>
    <sheet name="Check" sheetId="22" r:id="rId5"/>
  </sheets>
  <definedNames>
    <definedName name="_xleta.MAX" hidden="1">#NAME?</definedName>
    <definedName name="ActiveScenario">InpC!$F$4</definedName>
    <definedName name="BaseCase">InpC!$F$6</definedName>
    <definedName name="BaseCaseIndicator">InpC!$J$7:$BM$7</definedName>
    <definedName name="InputStored">InpC!$J$3:$BM$3</definedName>
  </definedNames>
  <calcPr calcMode="manual"/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<sst xmlns="http://schemas.openxmlformats.org/spreadsheetml/2006/main" count="233" uniqueCount="99">
  <si>
    <t>Base case 1</t>
  </si>
  <si>
    <t>Base case 2</t>
  </si>
  <si>
    <t>Base case 3</t>
  </si>
  <si>
    <t>Scenario 1</t>
  </si>
  <si>
    <t>Scenario 2</t>
  </si>
  <si>
    <t>Active scenario</t>
  </si>
  <si>
    <t>Comparison scenario</t>
  </si>
  <si>
    <t>Base case</t>
  </si>
  <si>
    <t>Input differences</t>
  </si>
  <si>
    <t>Constant</t>
  </si>
  <si>
    <t>Unit</t>
  </si>
  <si>
    <t>Source</t>
  </si>
  <si>
    <t>TIMING ASSUMPTIONS</t>
  </si>
  <si>
    <t>First date of time rulers</t>
  </si>
  <si>
    <t>date</t>
  </si>
  <si>
    <t>Financial year end date of first model period</t>
  </si>
  <si>
    <t>Length of construction period</t>
  </si>
  <si>
    <t>months</t>
  </si>
  <si>
    <t>Length of operating period</t>
  </si>
  <si>
    <t>Financial year end month number</t>
  </si>
  <si>
    <t>month #</t>
  </si>
  <si>
    <t>Escalation period end month</t>
  </si>
  <si>
    <t>month</t>
  </si>
  <si>
    <t>Financial close date</t>
  </si>
  <si>
    <t>Construction period length</t>
  </si>
  <si>
    <t>Operational period</t>
  </si>
  <si>
    <t>years</t>
  </si>
  <si>
    <t>MODEL TECHNICAL INPUTS - DO NOT CHANGE</t>
  </si>
  <si>
    <t>Months in year</t>
  </si>
  <si>
    <t>Timeline label</t>
  </si>
  <si>
    <t>Pre-forecast period</t>
  </si>
  <si>
    <t>Pre-fcst</t>
  </si>
  <si>
    <t>label</t>
  </si>
  <si>
    <t>Financial Close</t>
  </si>
  <si>
    <t>Fin Close</t>
  </si>
  <si>
    <t>Construction</t>
  </si>
  <si>
    <t>Operations</t>
  </si>
  <si>
    <t>Post ops</t>
  </si>
  <si>
    <t>Model period ending</t>
  </si>
  <si>
    <t>Error chks</t>
  </si>
  <si>
    <t>Alerts</t>
  </si>
  <si>
    <t>Financial year</t>
  </si>
  <si>
    <t>Model column counter</t>
  </si>
  <si>
    <t>Total</t>
  </si>
  <si>
    <t>TIME RULER</t>
  </si>
  <si>
    <t>First model column</t>
  </si>
  <si>
    <t>counter</t>
  </si>
  <si>
    <t>Model column total</t>
  </si>
  <si>
    <t>columns</t>
  </si>
  <si>
    <t>First model column flag</t>
  </si>
  <si>
    <t>flag</t>
  </si>
  <si>
    <t>Months per model period</t>
  </si>
  <si>
    <t>End of construction period date</t>
  </si>
  <si>
    <t>Number of construction periods</t>
  </si>
  <si>
    <t>Construction grain period flag</t>
  </si>
  <si>
    <t>Primary timeline period flag</t>
  </si>
  <si>
    <t>Model period start date</t>
  </si>
  <si>
    <t>Model period beginning</t>
  </si>
  <si>
    <t>Model period end date</t>
  </si>
  <si>
    <t>FLAGS</t>
  </si>
  <si>
    <t>Financial close date flag</t>
  </si>
  <si>
    <t>First construction period flag</t>
  </si>
  <si>
    <t>End of construction period flag</t>
  </si>
  <si>
    <t>Construction period flag</t>
  </si>
  <si>
    <t>First operating period flag</t>
  </si>
  <si>
    <t>Last operating period flag</t>
  </si>
  <si>
    <t>End of operating period</t>
  </si>
  <si>
    <t>Operating period flag</t>
  </si>
  <si>
    <t>First post operating period flag</t>
  </si>
  <si>
    <t>Escalation period year end flag</t>
  </si>
  <si>
    <t>Escalation year end month flag</t>
  </si>
  <si>
    <t>Contract year end month</t>
  </si>
  <si>
    <t>End of financial year flag</t>
  </si>
  <si>
    <t>Financial year end applicable to period</t>
  </si>
  <si>
    <t>year #</t>
  </si>
  <si>
    <t>Timeline label counter</t>
  </si>
  <si>
    <t>COUNTERS / PERIOD NUMBERS</t>
  </si>
  <si>
    <t>Period number</t>
  </si>
  <si>
    <t>Contract period number</t>
  </si>
  <si>
    <t>Contract period quarter</t>
  </si>
  <si>
    <t>Contract year number</t>
  </si>
  <si>
    <t>CONSTRUCTION QUARTER COUNTER</t>
  </si>
  <si>
    <t>Construction quarter counter</t>
  </si>
  <si>
    <t>DAYS IN PERIOD</t>
  </si>
  <si>
    <t>Days in period</t>
  </si>
  <si>
    <t>days</t>
  </si>
  <si>
    <t>LIBRARY CONTRACT</t>
  </si>
  <si>
    <t>Last model period flag</t>
  </si>
  <si>
    <t>Period fraction of a year (operating grain)</t>
  </si>
  <si>
    <t>fraction</t>
  </si>
  <si>
    <t>CHECK SUMMARY</t>
  </si>
  <si>
    <t>Total checks</t>
  </si>
  <si>
    <t>check</t>
  </si>
  <si>
    <t>[do not delete this row]</t>
  </si>
  <si>
    <t>[range start]</t>
  </si>
  <si>
    <t>[range end]</t>
  </si>
  <si>
    <t>ALERT SUMMARY</t>
  </si>
  <si>
    <t>Total alerts</t>
  </si>
  <si>
    <t>alert</t>
  </si>
</sst>
</file>

<file path=xl/styles.xml><?xml version="1.0" encoding="utf-8"?>
<styleSheet xmlns="http://schemas.openxmlformats.org/spreadsheetml/2006/main">
  <numFmts count="14">
    <numFmt numFmtId="164" formatCode="#,##0_);\(#,##0\);&quot;-  &quot;;&quot; &quot;@"/>
    <numFmt numFmtId="165" formatCode="dd\ mmm\ yy_);\(###0\);&quot;-  &quot;;&quot; &quot;@&quot; &quot;"/>
    <numFmt numFmtId="166" formatCode="dd\ mmm\ yyyy_);\(###0\);&quot;-  &quot;;&quot; &quot;@&quot; &quot;"/>
    <numFmt numFmtId="167" formatCode="#,##0.0_);\(#,##0.0\);&quot;-  &quot;;&quot; &quot;@"/>
    <numFmt numFmtId="168" formatCode="#,##0.0000_);\(#,##0.0000\);&quot;-  &quot;;&quot; &quot;@&quot; &quot;"/>
    <numFmt numFmtId="169" formatCode="#,##0_);\(#,##0\);&quot;-  &quot;;&quot; &quot;@&quot; &quot;"/>
    <numFmt numFmtId="170" formatCode="###0_);\(###0\);&quot;-  &quot;;&quot; &quot;@&quot; &quot;"/>
    <numFmt numFmtId="171" formatCode="0.00%\ ;\-0.00%\ _);&quot;-  &quot;;&quot; &quot;@&quot; &quot;"/>
    <numFmt numFmtId="172" formatCode="#,##0.000_);\(#,##0.000\);&quot;-  &quot;;&quot; &quot;@"/>
    <numFmt numFmtId="173" formatCode="_(&quot;£&quot;* #,##0.00_);_(&quot;£&quot;* \(#,##0.00\);_(&quot;£&quot;* &quot;-&quot;??_);_(@_)"/>
    <numFmt numFmtId="174" formatCode="_(&quot;£&quot;* #,##0_);_(&quot;£&quot;* \(#,##0\);_(&quot;£&quot;* &quot;-&quot;_);_(@_)"/>
    <numFmt numFmtId="175" formatCode="0.00%_);\-0.00%_);&quot;-  &quot;;&quot; &quot;@&quot; &quot;"/>
    <numFmt numFmtId="176" formatCode="#,##0_);(#,##0);&quot;-  &quot;;&quot; &quot;@"/>
    <numFmt numFmtId="177" formatCode="dd mmm yy_);(###0);&quot;-  &quot;;&quot; &quot;@&quot; &quot;"/>
  </numFmts>
  <fonts count="28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u val="single"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b/>
      <sz val="10"/>
      <color rgb="FF0000FF"/>
      <name val="Arial"/>
      <family val="2"/>
    </font>
    <font>
      <u val="single"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0000"/>
      <name val="Arial"/>
      <family val="2"/>
    </font>
    <font>
      <u val="single"/>
      <sz val="10"/>
      <color rgb="FFFF0000"/>
      <name val="Arial"/>
      <family val="2"/>
    </font>
    <font>
      <sz val="10"/>
      <color rgb="FFFF0000"/>
      <name val="Arial"/>
      <family val="2"/>
    </font>
    <font>
      <sz val="36"/>
      <color theme="0" tint="-0.249970003962517"/>
      <name val="Wingdings 3"/>
      <family val="1"/>
      <charset val="2"/>
    </font>
    <font>
      <b/>
      <sz val="10"/>
      <color rgb="FF000000"/>
      <name val="Arial"/>
      <family val="2"/>
    </font>
    <font>
      <u val="single"/>
      <sz val="10"/>
      <color rgb="FF000000"/>
      <name val="Arial"/>
      <family val="2"/>
    </font>
    <font>
      <sz val="10"/>
      <color rgb="FF000000"/>
      <name val="Arial"/>
      <family val="2"/>
    </font>
    <font>
      <b/>
      <u val="single"/>
      <sz val="10"/>
      <name val="Arial"/>
      <family val="2"/>
    </font>
    <font>
      <sz val="10"/>
      <color theme="0" tint="-0.249939993023872"/>
      <name val="Arial"/>
      <family val="2"/>
    </font>
    <font>
      <sz val="10"/>
      <color theme="0" tint="-0.0499799996614456"/>
      <name val="Arial"/>
      <family val="2"/>
    </font>
    <font>
      <b/>
      <sz val="36"/>
      <name val="Arial"/>
      <family val="2"/>
    </font>
    <font>
      <u val="single"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39993023872"/>
      <name val="Wingdings 3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C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</border>
    <border>
      <left style="thin">
        <color theme="0" tint="-0.249939993023872"/>
      </left>
      <right style="thin">
        <color theme="0" tint="-0.249939993023872"/>
      </right>
      <top/>
      <bottom style="thin">
        <color theme="0" tint="-0.249939993023872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 style="thin">
        <color theme="0" tint="-0.249939993023872"/>
      </bottom>
    </border>
    <border>
      <left/>
      <right/>
      <top style="thin">
        <color rgb="FF808080"/>
      </top>
      <bottom/>
    </border>
    <border>
      <left/>
      <right/>
      <top/>
      <bottom style="thin">
        <color rgb="FF808080"/>
      </bottom>
    </border>
    <border>
      <left/>
      <right/>
      <top style="thin">
        <color rgb="FF808080"/>
      </top>
      <bottom style="thin">
        <color rgb="FF808080"/>
      </bottom>
    </border>
    <border>
      <left style="thin">
        <color theme="0" tint="-0.249939993023872"/>
      </left>
      <right style="thin">
        <color theme="0" tint="-0.249939993023872"/>
      </right>
      <top style="thin">
        <color theme="0" tint="-0.249939993023872"/>
      </top>
      <bottom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theme="0" tint="-0.249909996986389"/>
      </top>
      <bottom style="thin">
        <color rgb="FFBFBFBF"/>
      </bottom>
    </border>
  </borders>
  <cellStyleXfs count="32">
    <xf numFmtId="164" fontId="0" fillId="0" borderId="0">
      <alignment vertical="top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73" fontId="0" fillId="0" borderId="0">
      <alignment/>
      <protection/>
    </xf>
    <xf numFmtId="174" fontId="0" fillId="0" borderId="0">
      <alignment/>
      <protection/>
    </xf>
    <xf numFmtId="164" fontId="0" fillId="0" borderId="0">
      <alignment vertical="top"/>
      <protection/>
    </xf>
    <xf numFmtId="41" fontId="0" fillId="0" borderId="0">
      <alignment/>
      <protection/>
    </xf>
    <xf numFmtId="166" fontId="0" fillId="0" borderId="0">
      <alignment vertical="top"/>
      <protection/>
    </xf>
    <xf numFmtId="165" fontId="0" fillId="0" borderId="0">
      <alignment vertical="top"/>
      <protection/>
    </xf>
    <xf numFmtId="168" fontId="0" fillId="0" borderId="0">
      <alignment vertical="top"/>
      <protection/>
    </xf>
    <xf numFmtId="171" fontId="0" fillId="0" borderId="0">
      <alignment vertical="top"/>
      <protection/>
    </xf>
    <xf numFmtId="170" fontId="0" fillId="0" borderId="0">
      <alignment vertical="top"/>
      <protection/>
    </xf>
    <xf numFmtId="169" fontId="0" fillId="0" borderId="0">
      <alignment vertical="top"/>
      <protection/>
    </xf>
    <xf numFmtId="169" fontId="2" fillId="0" borderId="0">
      <alignment vertical="top"/>
      <protection/>
    </xf>
    <xf numFmtId="168" fontId="2" fillId="0" borderId="0">
      <alignment vertical="top"/>
      <protection/>
    </xf>
    <xf numFmtId="175" fontId="2" fillId="0" borderId="0">
      <alignment vertical="top"/>
      <protection/>
    </xf>
    <xf numFmtId="164" fontId="0" fillId="0" borderId="0">
      <alignment vertical="top"/>
      <protection/>
    </xf>
    <xf numFmtId="165" fontId="2" fillId="0" borderId="0">
      <alignment vertical="top"/>
      <protection/>
    </xf>
    <xf numFmtId="164" fontId="0" fillId="0" borderId="0">
      <alignment vertical="top"/>
      <protection/>
    </xf>
  </cellStyleXfs>
  <cellXfs count="549">
    <xf numFmtId="164" fontId="0" fillId="0" borderId="0" xfId="0" applyAlignment="1">
      <alignment vertical="top"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6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4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7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7" fontId="0" fillId="0" borderId="0" xfId="22" applyAlignment="1">
      <alignment vertical="top"/>
      <protection/>
    </xf>
    <xf numFmtId="167" fontId="0" fillId="0" borderId="0" xfId="22" applyAlignment="1">
      <alignment vertical="top"/>
      <protection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4" fontId="0" fillId="0" borderId="0" xfId="0" applyAlignment="1">
      <alignment vertical="top"/>
    </xf>
    <xf numFmtId="164" fontId="5" fillId="0" borderId="0" xfId="0" applyAlignment="1">
      <alignment vertical="top"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5" fontId="0" fillId="0" borderId="0" xfId="21" applyAlignment="1">
      <alignment vertical="top"/>
      <protection/>
    </xf>
    <xf numFmtId="165" fontId="8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0" fillId="2" borderId="0" xfId="18" applyAlignment="1">
      <alignment horizontal="right" vertical="top"/>
      <protection/>
    </xf>
    <xf numFmtId="166" fontId="0" fillId="0" borderId="0" xfId="20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5" fontId="5" fillId="0" borderId="0" xfId="21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5" fillId="0" borderId="0" xfId="0" applyAlignment="1">
      <alignment vertical="top"/>
    </xf>
    <xf numFmtId="167" fontId="5" fillId="0" borderId="0" xfId="22" applyAlignment="1">
      <alignment vertical="top"/>
      <protection/>
    </xf>
    <xf numFmtId="166" fontId="5" fillId="0" borderId="0" xfId="20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horizontal="right" vertical="top"/>
      <protection/>
    </xf>
    <xf numFmtId="164" fontId="0" fillId="0" borderId="0" xfId="0" applyAlignment="1">
      <alignment horizontal="right" vertical="top"/>
    </xf>
    <xf numFmtId="164" fontId="0" fillId="0" borderId="0" xfId="0" applyAlignment="1">
      <alignment horizontal="right" vertical="top"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4" fontId="5" fillId="0" borderId="0" xfId="0" applyAlignment="1">
      <alignment horizontal="right" vertical="top"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11" fillId="0" borderId="0" xfId="18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8" fillId="0" borderId="0" xfId="0" applyAlignment="1">
      <alignment vertical="top"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9" fontId="0" fillId="0" borderId="0" xfId="18" applyAlignment="1">
      <alignment vertical="top"/>
      <protection/>
    </xf>
    <xf numFmtId="169" fontId="11" fillId="0" borderId="0" xfId="21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9" fontId="11" fillId="0" borderId="0" xfId="21" applyAlignment="1">
      <alignment vertical="top"/>
      <protection/>
    </xf>
    <xf numFmtId="165" fontId="14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9" fontId="0" fillId="0" borderId="0" xfId="18" applyAlignment="1">
      <alignment vertical="top"/>
      <protection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9" fontId="0" fillId="0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2" xfId="18" applyAlignment="1">
      <alignment horizontal="center" vertical="top"/>
      <protection/>
    </xf>
    <xf numFmtId="166" fontId="0" fillId="4" borderId="3" xfId="20" applyAlignment="1">
      <alignment vertical="top"/>
      <protection/>
    </xf>
    <xf numFmtId="164" fontId="0" fillId="4" borderId="3" xfId="0" applyAlignment="1">
      <alignment vertical="top"/>
    </xf>
    <xf numFmtId="164" fontId="0" fillId="4" borderId="3" xfId="18" applyAlignment="1">
      <alignment horizontal="center" vertical="top"/>
      <protection/>
    </xf>
    <xf numFmtId="164" fontId="5" fillId="4" borderId="2" xfId="0" applyAlignment="1">
      <alignment horizontal="center" vertical="top"/>
    </xf>
    <xf numFmtId="0" fontId="15" fillId="0" borderId="0" xfId="18" applyAlignment="1">
      <alignment horizontal="center" vertical="center"/>
      <protection/>
    </xf>
    <xf numFmtId="166" fontId="0" fillId="0" borderId="3" xfId="20" applyAlignment="1">
      <alignment vertical="top"/>
      <protection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0" fillId="0" borderId="0" xfId="0" applyAlignment="1">
      <alignment vertical="top"/>
    </xf>
    <xf numFmtId="164" fontId="0" fillId="3" borderId="0" xfId="0" applyAlignment="1">
      <alignment vertical="top"/>
    </xf>
    <xf numFmtId="166" fontId="0" fillId="0" borderId="0" xfId="20" applyAlignment="1">
      <alignment vertical="top"/>
      <protection/>
    </xf>
    <xf numFmtId="166" fontId="0" fillId="3" borderId="0" xfId="20" applyAlignment="1">
      <alignment vertical="top"/>
      <protection/>
    </xf>
    <xf numFmtId="164" fontId="0" fillId="0" borderId="3" xfId="0" applyAlignment="1">
      <alignment vertical="top"/>
    </xf>
    <xf numFmtId="171" fontId="0" fillId="3" borderId="0" xfId="23" applyAlignment="1">
      <alignment vertical="top"/>
      <protection/>
    </xf>
    <xf numFmtId="164" fontId="0" fillId="3" borderId="0" xfId="0" applyAlignment="1">
      <alignment vertical="top"/>
    </xf>
    <xf numFmtId="164" fontId="11" fillId="0" borderId="0" xfId="18" applyAlignment="1">
      <alignment vertical="top"/>
      <protection/>
    </xf>
    <xf numFmtId="164" fontId="14" fillId="0" borderId="0" xfId="18" applyAlignment="1">
      <alignment vertical="top"/>
      <protection/>
    </xf>
    <xf numFmtId="164" fontId="14" fillId="0" borderId="0" xfId="0" applyAlignment="1">
      <alignment vertical="top"/>
    </xf>
    <xf numFmtId="169" fontId="11" fillId="0" borderId="0" xfId="18" applyAlignment="1">
      <alignment vertical="top"/>
      <protection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5" fontId="14" fillId="0" borderId="0" xfId="21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9" fontId="0" fillId="0" borderId="0" xfId="18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16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horizontal="right"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0" borderId="4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0" borderId="5" xfId="18" applyAlignment="1">
      <alignment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4" fontId="14" fillId="0" borderId="0" xfId="0" applyAlignment="1">
      <alignment vertical="top"/>
    </xf>
    <xf numFmtId="164" fontId="14" fillId="0" borderId="0" xfId="0" applyAlignment="1">
      <alignment vertical="top"/>
    </xf>
    <xf numFmtId="164" fontId="18" fillId="0" borderId="6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4" fontId="0" fillId="3" borderId="0" xfId="18" applyAlignment="1">
      <alignment vertical="top"/>
      <protection/>
    </xf>
    <xf numFmtId="164" fontId="0" fillId="0" borderId="0" xfId="18" applyAlignment="1">
      <alignment horizontal="center" vertical="top"/>
      <protection/>
    </xf>
    <xf numFmtId="164" fontId="5" fillId="0" borderId="7" xfId="0" applyAlignment="1">
      <alignment horizontal="center" vertical="center"/>
    </xf>
    <xf numFmtId="164" fontId="5" fillId="4" borderId="3" xfId="0" applyAlignment="1">
      <alignment horizontal="center" vertical="top"/>
    </xf>
    <xf numFmtId="166" fontId="21" fillId="3" borderId="0" xfId="20" applyAlignment="1">
      <alignment vertical="top"/>
      <protection/>
    </xf>
    <xf numFmtId="164" fontId="21" fillId="3" borderId="0" xfId="0" applyAlignment="1">
      <alignment vertical="top"/>
    </xf>
    <xf numFmtId="164" fontId="21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18" fillId="0" borderId="0" xfId="0" applyAlignment="1">
      <alignment horizontal="center" vertical="top"/>
    </xf>
    <xf numFmtId="164" fontId="0" fillId="6" borderId="0" xfId="0" applyAlignment="1">
      <alignment horizontal="right" vertical="top"/>
    </xf>
    <xf numFmtId="164" fontId="18" fillId="6" borderId="3" xfId="0" applyAlignment="1">
      <alignment horizontal="center" vertical="top"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64" fontId="24" fillId="3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4" fontId="25" fillId="0" borderId="0" xfId="18" applyAlignment="1">
      <alignment vertical="top"/>
      <protection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6" fillId="0" borderId="0" xfId="21" applyAlignment="1">
      <alignment vertical="top"/>
      <protection/>
    </xf>
    <xf numFmtId="164" fontId="0" fillId="4" borderId="4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0" fillId="4" borderId="3" xfId="24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3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70" fontId="24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0" fillId="0" borderId="3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7" fillId="0" borderId="0" xfId="24" applyAlignment="1">
      <alignment horizontal="center" vertical="top"/>
      <protection/>
    </xf>
    <xf numFmtId="170" fontId="21" fillId="0" borderId="0" xfId="24" applyAlignment="1">
      <alignment horizontal="center" vertical="top"/>
      <protection/>
    </xf>
    <xf numFmtId="170" fontId="0" fillId="3" borderId="0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70" fontId="18" fillId="0" borderId="0" xfId="24" applyAlignment="1">
      <alignment horizontal="center" vertical="top"/>
      <protection/>
    </xf>
    <xf numFmtId="164" fontId="27" fillId="0" borderId="0" xfId="24" applyAlignment="1">
      <alignment horizontal="center"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6" fillId="0" borderId="0" xfId="0" applyAlignment="1">
      <alignment vertical="top"/>
    </xf>
    <xf numFmtId="169" fontId="0" fillId="4" borderId="3" xfId="18" applyAlignment="1">
      <alignment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64" fontId="26" fillId="0" borderId="0" xfId="0" applyAlignment="1">
      <alignment vertical="top"/>
    </xf>
    <xf numFmtId="170" fontId="18" fillId="0" borderId="0" xfId="18" applyAlignment="1">
      <alignment vertical="top"/>
      <protection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4" fillId="0" borderId="0" xfId="0" applyAlignment="1">
      <alignment horizontal="right" vertical="top"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4" fontId="0" fillId="0" borderId="0" xfId="0" applyAlignment="1">
      <alignment vertical="top"/>
    </xf>
    <xf numFmtId="164" fontId="0" fillId="0" borderId="0" xfId="29" applyAlignment="1">
      <alignment vertical="top"/>
      <protection/>
    </xf>
    <xf numFmtId="164" fontId="0" fillId="0" borderId="0" xfId="0" applyAlignment="1">
      <alignment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8" fontId="0" fillId="4" borderId="3" xfId="22" applyAlignment="1">
      <alignment vertical="top"/>
      <protection/>
    </xf>
    <xf numFmtId="164" fontId="18" fillId="4" borderId="3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0" borderId="0" xfId="29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horizontal="right" vertical="top"/>
    </xf>
    <xf numFmtId="164" fontId="11" fillId="0" borderId="0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0" fillId="0" borderId="4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0" borderId="0" xfId="29" applyAlignment="1">
      <alignment vertical="top"/>
      <protection/>
    </xf>
    <xf numFmtId="164" fontId="0" fillId="0" borderId="0" xfId="29" applyAlignment="1">
      <alignment vertical="top"/>
      <protection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5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64" fontId="0" fillId="6" borderId="0" xfId="31" applyAlignment="1">
      <alignment horizontal="right" vertical="top"/>
      <protection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1" fillId="0" borderId="0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5" fillId="0" borderId="0" xfId="0" applyAlignment="1">
      <alignment vertical="top"/>
    </xf>
    <xf numFmtId="164" fontId="14" fillId="0" borderId="0" xfId="0" applyAlignment="1">
      <alignment vertical="top"/>
    </xf>
    <xf numFmtId="164" fontId="11" fillId="0" borderId="0" xfId="20" applyAlignment="1">
      <alignment vertical="top"/>
      <protection/>
    </xf>
    <xf numFmtId="164" fontId="0" fillId="0" borderId="0" xfId="0" applyAlignment="1">
      <alignment vertical="top"/>
    </xf>
    <xf numFmtId="165" fontId="0" fillId="0" borderId="0" xfId="18" applyAlignment="1">
      <alignment vertical="top"/>
      <protection/>
    </xf>
    <xf numFmtId="164" fontId="0" fillId="0" borderId="6" xfId="18" applyAlignment="1">
      <alignment vertical="top"/>
      <protection/>
    </xf>
    <xf numFmtId="164" fontId="0" fillId="0" borderId="6" xfId="18" applyAlignment="1">
      <alignment vertical="top"/>
      <protection/>
    </xf>
    <xf numFmtId="164" fontId="14" fillId="0" borderId="5" xfId="0" applyAlignment="1">
      <alignment vertical="top"/>
    </xf>
    <xf numFmtId="164" fontId="11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72" fontId="0" fillId="0" borderId="0" xfId="29" applyAlignment="1">
      <alignment vertical="top"/>
      <protection/>
    </xf>
    <xf numFmtId="164" fontId="11" fillId="5" borderId="0" xfId="18" applyAlignment="1">
      <alignment vertical="top"/>
      <protection/>
    </xf>
    <xf numFmtId="164" fontId="11" fillId="5" borderId="0" xfId="0" applyAlignment="1">
      <alignment vertical="top"/>
    </xf>
    <xf numFmtId="164" fontId="14" fillId="5" borderId="0" xfId="0" applyAlignment="1">
      <alignment vertical="top"/>
    </xf>
    <xf numFmtId="164" fontId="0" fillId="0" borderId="6" xfId="0" applyAlignment="1">
      <alignment vertical="top"/>
    </xf>
    <xf numFmtId="164" fontId="14" fillId="0" borderId="0" xfId="0" applyAlignment="1">
      <alignment vertical="top"/>
    </xf>
    <xf numFmtId="164" fontId="0" fillId="0" borderId="6" xfId="0" applyAlignment="1">
      <alignment vertical="top"/>
    </xf>
    <xf numFmtId="164" fontId="11" fillId="0" borderId="0" xfId="0" applyAlignment="1">
      <alignment vertical="top"/>
    </xf>
    <xf numFmtId="164" fontId="14" fillId="5" borderId="0" xfId="0" applyAlignment="1">
      <alignment vertical="top"/>
    </xf>
    <xf numFmtId="164" fontId="0" fillId="7" borderId="0" xfId="29" applyAlignment="1">
      <alignment vertical="top"/>
      <protection/>
    </xf>
    <xf numFmtId="164" fontId="5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0" fillId="0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0" fontId="0" fillId="0" borderId="0" xfId="0">
      <alignment/>
    </xf>
    <xf numFmtId="164" fontId="7" fillId="0" borderId="0" xfId="18" applyAlignment="1">
      <alignment vertical="top"/>
      <protection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70" fontId="24" fillId="0" borderId="0" xfId="24" applyAlignment="1">
      <alignment horizontal="center" vertical="top"/>
      <protection/>
    </xf>
    <xf numFmtId="164" fontId="24" fillId="3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4" fontId="5" fillId="0" borderId="7" xfId="0" applyAlignment="1">
      <alignment horizontal="center" vertical="center"/>
    </xf>
    <xf numFmtId="170" fontId="5" fillId="0" borderId="0" xfId="24" applyAlignment="1">
      <alignment horizontal="center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5" fillId="4" borderId="3" xfId="0" applyAlignment="1">
      <alignment horizontal="center" vertical="top"/>
    </xf>
    <xf numFmtId="170" fontId="20" fillId="0" borderId="3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4" borderId="2" xfId="18" applyAlignment="1">
      <alignment horizontal="center" vertical="top"/>
      <protection/>
    </xf>
    <xf numFmtId="164" fontId="0" fillId="0" borderId="0" xfId="18" applyAlignment="1">
      <alignment vertical="top"/>
      <protection/>
    </xf>
    <xf numFmtId="164" fontId="5" fillId="4" borderId="2" xfId="0" applyAlignment="1">
      <alignment horizontal="center" vertical="top"/>
    </xf>
    <xf numFmtId="164" fontId="0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0" fillId="4" borderId="3" xfId="18" applyAlignment="1">
      <alignment horizontal="center" vertical="top"/>
      <protection/>
    </xf>
    <xf numFmtId="164" fontId="18" fillId="6" borderId="3" xfId="0" applyAlignment="1">
      <alignment horizontal="center" vertical="top"/>
    </xf>
    <xf numFmtId="170" fontId="0" fillId="0" borderId="0" xfId="24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0" borderId="0" xfId="0" applyAlignment="1">
      <alignment horizontal="center" vertical="top"/>
    </xf>
    <xf numFmtId="164" fontId="0" fillId="0" borderId="0" xfId="18" applyAlignment="1">
      <alignment horizontal="center"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3" xfId="20" applyAlignment="1">
      <alignment vertical="top"/>
      <protection/>
    </xf>
    <xf numFmtId="170" fontId="27" fillId="0" borderId="0" xfId="24" applyAlignment="1">
      <alignment horizontal="center" vertical="top"/>
      <protection/>
    </xf>
    <xf numFmtId="166" fontId="21" fillId="3" borderId="0" xfId="20" applyAlignment="1">
      <alignment vertical="top"/>
      <protection/>
    </xf>
    <xf numFmtId="166" fontId="0" fillId="4" borderId="3" xfId="20" applyAlignment="1">
      <alignment vertical="top"/>
      <protection/>
    </xf>
    <xf numFmtId="166" fontId="0" fillId="3" borderId="0" xfId="20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4" fontId="0" fillId="0" borderId="0" xfId="0" applyAlignment="1">
      <alignment vertical="top"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4" fillId="0" borderId="0" xfId="0" applyAlignment="1">
      <alignment vertical="top"/>
    </xf>
    <xf numFmtId="164" fontId="0" fillId="3" borderId="0" xfId="0" applyAlignment="1">
      <alignment vertical="top"/>
    </xf>
    <xf numFmtId="164" fontId="0" fillId="0" borderId="0" xfId="18" applyAlignment="1">
      <alignment vertical="top"/>
      <protection/>
    </xf>
    <xf numFmtId="164" fontId="0" fillId="0" borderId="3" xfId="0" applyAlignment="1">
      <alignment vertical="top"/>
    </xf>
    <xf numFmtId="164" fontId="21" fillId="3" borderId="0" xfId="0" applyAlignment="1">
      <alignment vertical="top"/>
    </xf>
    <xf numFmtId="164" fontId="0" fillId="4" borderId="3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3" xfId="24" applyAlignment="1">
      <alignment vertical="top"/>
      <protection/>
    </xf>
    <xf numFmtId="170" fontId="21" fillId="0" borderId="0" xfId="24" applyAlignment="1">
      <alignment horizontal="center" vertical="top"/>
      <protection/>
    </xf>
    <xf numFmtId="164" fontId="21" fillId="3" borderId="0" xfId="18" applyAlignment="1">
      <alignment vertical="top"/>
      <protection/>
    </xf>
    <xf numFmtId="164" fontId="27" fillId="0" borderId="0" xfId="24" applyAlignment="1">
      <alignment horizontal="center" vertical="top"/>
      <protection/>
    </xf>
    <xf numFmtId="164" fontId="0" fillId="0" borderId="0" xfId="0" applyAlignment="1">
      <alignment vertical="top"/>
    </xf>
    <xf numFmtId="164" fontId="0" fillId="4" borderId="3" xfId="0" applyAlignment="1">
      <alignment vertical="top"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70" fontId="0" fillId="3" borderId="0" xfId="24" applyAlignment="1">
      <alignment horizontal="center" vertical="top"/>
      <protection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8" fontId="0" fillId="4" borderId="3" xfId="22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vertical="top"/>
      <protection/>
    </xf>
    <xf numFmtId="164" fontId="18" fillId="4" borderId="3" xfId="18" applyAlignment="1">
      <alignment vertical="top"/>
      <protection/>
    </xf>
    <xf numFmtId="170" fontId="18" fillId="0" borderId="0" xfId="24" applyAlignment="1">
      <alignment horizontal="center" vertical="top"/>
      <protection/>
    </xf>
    <xf numFmtId="164" fontId="18" fillId="3" borderId="0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4" borderId="3" xfId="18" applyAlignment="1">
      <alignment vertical="top"/>
      <protection/>
    </xf>
    <xf numFmtId="164" fontId="0" fillId="3" borderId="0" xfId="18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5" fontId="0" fillId="0" borderId="0" xfId="21" applyAlignment="1">
      <alignment vertical="top"/>
      <protection/>
    </xf>
    <xf numFmtId="164" fontId="0" fillId="6" borderId="0" xfId="0" applyAlignment="1">
      <alignment horizontal="right" vertical="top"/>
    </xf>
    <xf numFmtId="165" fontId="8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8" fillId="0" borderId="0" xfId="0" applyAlignment="1">
      <alignment vertical="top"/>
    </xf>
    <xf numFmtId="164" fontId="0" fillId="2" borderId="0" xfId="18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0" fillId="0" borderId="0" xfId="29" applyAlignment="1">
      <alignment vertical="top"/>
      <protection/>
    </xf>
    <xf numFmtId="164" fontId="0" fillId="0" borderId="4" xfId="0" applyAlignment="1">
      <alignment vertical="top"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11" fillId="0" borderId="4" xfId="29" applyAlignment="1">
      <alignment vertical="top"/>
      <protection/>
    </xf>
    <xf numFmtId="164" fontId="11" fillId="0" borderId="0" xfId="0" applyAlignment="1">
      <alignment vertical="top"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29" applyAlignment="1">
      <alignment vertical="top"/>
      <protection/>
    </xf>
    <xf numFmtId="164" fontId="0" fillId="0" borderId="5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64" fontId="0" fillId="7" borderId="0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0" fillId="6" borderId="0" xfId="31" applyAlignment="1">
      <alignment horizontal="right" vertical="top"/>
      <protection/>
    </xf>
    <xf numFmtId="172" fontId="0" fillId="0" borderId="0" xfId="29" applyAlignment="1">
      <alignment vertical="top"/>
      <protection/>
    </xf>
    <xf numFmtId="164" fontId="14" fillId="0" borderId="5" xfId="0" applyAlignment="1">
      <alignment vertical="top"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64" fontId="14" fillId="0" borderId="5" xfId="29" applyAlignment="1">
      <alignment vertical="top"/>
      <protection/>
    </xf>
    <xf numFmtId="164" fontId="6" fillId="0" borderId="0" xfId="18" applyAlignment="1">
      <alignment vertical="top"/>
      <protection/>
    </xf>
    <xf numFmtId="164" fontId="14" fillId="0" borderId="0" xfId="0" applyAlignment="1">
      <alignment vertical="top"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7" fontId="5" fillId="0" borderId="0" xfId="22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7" fontId="0" fillId="0" borderId="0" xfId="22" applyAlignment="1">
      <alignment vertical="top"/>
      <protection/>
    </xf>
    <xf numFmtId="164" fontId="0" fillId="0" borderId="0" xfId="0" applyAlignment="1">
      <alignment vertical="top"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6" fontId="0" fillId="0" borderId="0" xfId="20" applyAlignment="1">
      <alignment horizontal="right" vertical="top"/>
      <protection/>
    </xf>
    <xf numFmtId="166" fontId="11" fillId="0" borderId="0" xfId="20" applyAlignment="1">
      <alignment vertical="top"/>
      <protection/>
    </xf>
    <xf numFmtId="164" fontId="11" fillId="0" borderId="0" xfId="20" applyAlignment="1">
      <alignment vertical="top"/>
      <protection/>
    </xf>
    <xf numFmtId="164" fontId="11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14" fillId="0" borderId="0" xfId="21" applyAlignment="1">
      <alignment horizontal="right" vertical="top"/>
      <protection/>
    </xf>
    <xf numFmtId="165" fontId="14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6" fontId="18" fillId="0" borderId="0" xfId="20" applyAlignment="1">
      <alignment vertical="top"/>
      <protection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6" fontId="0" fillId="0" borderId="0" xfId="20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vertical="top"/>
    </xf>
    <xf numFmtId="164" fontId="14" fillId="0" borderId="0" xfId="0" applyAlignment="1">
      <alignment vertical="top"/>
    </xf>
    <xf numFmtId="165" fontId="0" fillId="0" borderId="0" xfId="21" applyAlignment="1">
      <alignment vertical="top"/>
      <protection/>
    </xf>
    <xf numFmtId="164" fontId="14" fillId="0" borderId="0" xfId="0" applyAlignment="1">
      <alignment vertical="top"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7" fontId="0" fillId="0" borderId="0" xfId="18" applyAlignment="1">
      <alignment vertical="top"/>
      <protection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25" fillId="0" borderId="0" xfId="18" applyAlignment="1">
      <alignment vertical="top"/>
      <protection/>
    </xf>
    <xf numFmtId="164" fontId="14" fillId="5" borderId="0" xfId="0" applyAlignment="1">
      <alignment vertical="top"/>
    </xf>
    <xf numFmtId="164" fontId="14" fillId="5" borderId="0" xfId="0" applyAlignment="1">
      <alignment vertical="top"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70" fontId="18" fillId="0" borderId="0" xfId="18" applyAlignment="1">
      <alignment vertical="top"/>
      <protection/>
    </xf>
    <xf numFmtId="164" fontId="26" fillId="0" borderId="0" xfId="0" applyAlignment="1">
      <alignment vertical="top"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1" fillId="5" borderId="0" xfId="0" applyAlignment="1">
      <alignment vertical="top"/>
    </xf>
    <xf numFmtId="164" fontId="0" fillId="0" borderId="6" xfId="18" applyAlignment="1">
      <alignment vertical="top"/>
      <protection/>
    </xf>
    <xf numFmtId="164" fontId="11" fillId="5" borderId="0" xfId="18" applyAlignment="1">
      <alignment vertical="top"/>
      <protection/>
    </xf>
    <xf numFmtId="164" fontId="14" fillId="0" borderId="0" xfId="0" applyAlignment="1">
      <alignment horizontal="right" vertical="top"/>
    </xf>
    <xf numFmtId="164" fontId="0" fillId="0" borderId="6" xfId="0" applyAlignment="1">
      <alignment vertical="top"/>
    </xf>
    <xf numFmtId="164" fontId="18" fillId="0" borderId="6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4" borderId="4" xfId="18" applyAlignment="1">
      <alignment vertical="top"/>
      <protection/>
    </xf>
    <xf numFmtId="164" fontId="0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0" fillId="3" borderId="0" xfId="23" applyAlignment="1">
      <alignment vertical="top"/>
      <protection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4" fillId="0" borderId="0" xfId="0" applyAlignment="1">
      <alignment vertical="top"/>
    </xf>
    <xf numFmtId="167" fontId="0" fillId="0" borderId="0" xfId="0" applyAlignment="1">
      <alignment vertical="top"/>
    </xf>
    <xf numFmtId="164" fontId="0" fillId="4" borderId="3" xfId="0" applyAlignment="1">
      <alignment vertical="top"/>
    </xf>
    <xf numFmtId="164" fontId="0" fillId="4" borderId="3" xfId="0" applyAlignment="1">
      <alignment vertical="top"/>
    </xf>
    <xf numFmtId="164" fontId="0" fillId="0" borderId="3" xfId="0" applyAlignment="1">
      <alignment vertical="top"/>
    </xf>
    <xf numFmtId="170" fontId="27" fillId="0" borderId="0" xfId="0" applyAlignment="1">
      <alignment horizontal="center"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4" fontId="0" fillId="4" borderId="8" xfId="0" applyAlignment="1">
      <alignment vertical="top"/>
    </xf>
    <xf numFmtId="164" fontId="0" fillId="0" borderId="8" xfId="0" applyAlignment="1">
      <alignment vertical="top"/>
    </xf>
    <xf numFmtId="164" fontId="0" fillId="0" borderId="9" xfId="0" applyAlignment="1">
      <alignment vertical="top"/>
    </xf>
    <xf numFmtId="164" fontId="0" fillId="6" borderId="0" xfId="0" applyAlignment="1">
      <alignment horizontal="right" vertical="top"/>
    </xf>
    <xf numFmtId="164" fontId="5" fillId="0" borderId="0" xfId="0" applyNumberFormat="1" applyFont="1" applyFill="1" applyBorder="1" applyAlignment="1">
      <alignment vertical="top"/>
    </xf>
    <xf numFmtId="164" fontId="0" fillId="0" borderId="0" xfId="0" applyNumberFormat="1" applyFont="1" applyFill="1" applyBorder="1" applyAlignment="1">
      <alignment vertical="top"/>
    </xf>
    <xf numFmtId="176" fontId="0" fillId="6" borderId="0" xfId="0" applyNumberFormat="1" applyFont="1" applyFill="1" applyBorder="1" applyAlignment="1">
      <alignment horizontal="right" vertical="top"/>
    </xf>
    <xf numFmtId="176" fontId="0" fillId="0" borderId="0" xfId="0" applyNumberFormat="1" applyFont="1" applyFill="1" applyBorder="1" applyAlignment="1">
      <alignment vertical="top"/>
    </xf>
    <xf numFmtId="164" fontId="0" fillId="3" borderId="0" xfId="0" applyNumberFormat="1" applyFont="1" applyFill="1" applyBorder="1" applyAlignment="1">
      <alignment vertical="top"/>
    </xf>
    <xf numFmtId="177" fontId="0" fillId="0" borderId="3" xfId="0" applyNumberFormat="1" applyFont="1" applyFill="1" applyBorder="1" applyAlignment="1">
      <alignment vertical="top"/>
    </xf>
    <xf numFmtId="177" fontId="0" fillId="0" borderId="0" xfId="0" applyNumberFormat="1" applyFont="1" applyFill="1" applyBorder="1" applyAlignment="1">
      <alignment vertical="top"/>
    </xf>
    <xf numFmtId="170" fontId="27" fillId="0" borderId="0" xfId="0" applyNumberFormat="1" applyFont="1" applyFill="1" applyBorder="1" applyAlignment="1">
      <alignment horizontal="center" vertical="top"/>
    </xf>
    <xf numFmtId="177" fontId="0" fillId="4" borderId="3" xfId="0" applyNumberFormat="1" applyFont="1" applyFill="1" applyBorder="1" applyAlignment="1">
      <alignment vertical="top"/>
    </xf>
    <xf numFmtId="176" fontId="0" fillId="0" borderId="3" xfId="0" applyNumberFormat="1" applyFont="1" applyFill="1" applyBorder="1" applyAlignment="1">
      <alignment vertical="top"/>
    </xf>
    <xf numFmtId="176" fontId="0" fillId="4" borderId="3" xfId="0" applyNumberFormat="1" applyFont="1" applyFill="1" applyBorder="1" applyAlignment="1">
      <alignment vertical="top"/>
    </xf>
    <xf numFmtId="164" fontId="5" fillId="3" borderId="0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76" fontId="11" fillId="0" borderId="0" xfId="0" applyNumberFormat="1" applyFont="1" applyFill="1" applyBorder="1" applyAlignment="1">
      <alignment vertical="top"/>
    </xf>
  </cellXfs>
  <cellStyles count="18">
    <cellStyle name="Normal" xfId="0" builtinId="0"/>
    <cellStyle name="Percent" xfId="15" builtinId="5"/>
    <cellStyle name="Currency" xfId="16" hidden="1" builtinId="4"/>
    <cellStyle name="Currency [0]" xfId="17" hidden="1" builtinId="7"/>
    <cellStyle name="Comma" xfId="18" builtinId="3"/>
    <cellStyle name="Comma [0]" xfId="19" hidden="1" builtinId="6"/>
    <cellStyle name="DateLong" xfId="20"/>
    <cellStyle name="DateShort" xfId="21"/>
    <cellStyle name="Factor" xfId="22"/>
    <cellStyle name="Per cent" xfId="23" builtinId="5"/>
    <cellStyle name="Year" xfId="24"/>
    <cellStyle name="Normal 2" xfId="25"/>
    <cellStyle name="Normal 2 2" xfId="26"/>
    <cellStyle name="Factor 3" xfId="27"/>
    <cellStyle name="Percent 2 2" xfId="28"/>
    <cellStyle name="Comma 2" xfId="29"/>
    <cellStyle name="DateShort 3" xfId="30"/>
    <cellStyle name="Normal 3" xfId="31"/>
  </cellStyles>
  <dxfs count="26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39993023872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alcChain" Target="calcChain.xml" /><Relationship Id="rId6" Type="http://schemas.openxmlformats.org/officeDocument/2006/relationships/sharedStrings" Target="sharedStrings.xml" /><Relationship Id="rId1" Type="http://schemas.openxmlformats.org/officeDocument/2006/relationships/theme" Target="theme/theme1.xml" /><Relationship Id="rId5" Type="http://schemas.openxmlformats.org/officeDocument/2006/relationships/worksheet" Target="worksheets/sheet3.xml" /><Relationship Id="rId7" Type="http://schemas.openxmlformats.org/officeDocument/2006/relationships/customXml" Target="../customXml/item1.xml" /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BM33"/>
  <sheetViews>
    <sheetView showGridLines="0" tabSelected="1" defaultGridColor="0" zoomScale="85" zoomScaleNormal="85" colorId="22" workbookViewId="0" topLeftCell="A1">
      <pane xSplit="10" ySplit="9" topLeftCell="K10" activePane="bottomRight" state="frozen"/>
      <selection pane="topLeft" activeCell="J13" sqref="J13"/>
      <selection pane="bottomLeft" activeCell="J13" sqref="J13"/>
      <selection pane="topRight" activeCell="J13" sqref="J13"/>
      <selection pane="bottomRight" activeCell="Q25" sqref="Q25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7" width="11.5714285714286" style="309" customWidth="1"/>
    <col min="8" max="8" width="22.5714285714286" style="309" customWidth="1"/>
    <col min="9" max="9" width="5" style="310" customWidth="1"/>
    <col min="10" max="10" width="0.428571428571429" style="311" customWidth="1"/>
    <col min="11" max="13" width="12.5714285714286" style="309" customWidth="1"/>
    <col min="14" max="14" width="0.428571428571429" style="311" customWidth="1"/>
    <col min="15" max="16" width="12.5714285714286" style="309" customWidth="1"/>
    <col min="17" max="17" width="0.428571428571429" style="311" customWidth="1"/>
    <col min="18" max="64" width="12.5714285714286" style="309" hidden="1" customWidth="1"/>
    <col min="65" max="65" width="0.428571428571429" style="311" hidden="1" customWidth="1"/>
    <col min="66" max="70" width="12.5714285714286" style="312" hidden="1" customWidth="1"/>
    <col min="71" max="16384" width="9" style="312" hidden="1" customWidth="1"/>
  </cols>
  <sheetData>
    <row r="1" spans="1:16" ht="26.25" customHeight="1">
      <c r="A1" s="313" t="str">
        <f ca="1">RIGHT(CELL("filename",A1),LEN(CELL("filename",A1))-SEARCH("]",CELL("filename",A1)))&amp;" - "&amp;$F$3</f>
        <v>InpC - Base case 1</v>
      </c>
      <c r="K1" s="309"/>
      <c r="L1" s="309"/>
      <c r="M1" s="309"/>
      <c r="O1" s="309"/>
      <c r="P1" s="309"/>
    </row>
    <row r="2" spans="1:16 65:65" ht="39.75" customHeight="1">
      <c r="A2" s="314"/>
      <c r="B2" s="314"/>
      <c r="C2" s="315"/>
      <c r="D2" s="316"/>
      <c r="E2" s="317"/>
      <c r="F2" s="317"/>
      <c r="G2" s="317"/>
      <c r="H2" s="317"/>
      <c r="I2" s="318"/>
      <c r="K2" s="114" t="str">
        <f>IF(K4=$F4,"q","")</f>
        <v>q</v>
      </c>
      <c r="L2" s="114" t="str">
        <f>IF(L4=$F4,"q","")</f>
        <v/>
      </c>
      <c r="M2" s="114" t="str">
        <f>IF(M4=$F4,"q","")</f>
        <v/>
      </c>
      <c r="O2" s="114" t="str">
        <f>IF(O4=$F4,"q","")</f>
        <v/>
      </c>
      <c r="P2" s="114" t="str">
        <f>IF(P4=$F4,"q","")</f>
        <v/>
      </c>
      <c r="BM2" s="319"/>
    </row>
    <row r="3" spans="1:16 65:65" ht="30.75" customHeight="1">
      <c r="A3" s="320"/>
      <c r="B3" s="320"/>
      <c r="C3" s="321"/>
      <c r="D3" s="322"/>
      <c r="E3" s="320"/>
      <c r="F3" s="323" t="str">
        <f>INDEX(J3:Q3,MATCH(F4,J4:Q4))</f>
        <v>Base case 1</v>
      </c>
      <c r="G3" s="306"/>
      <c r="H3" s="320"/>
      <c r="I3" s="324"/>
      <c r="K3" s="326" t="s">
        <v>0</v>
      </c>
      <c r="L3" s="326" t="s">
        <v>1</v>
      </c>
      <c r="M3" s="326" t="s">
        <v>2</v>
      </c>
      <c r="O3" s="326" t="s">
        <v>3</v>
      </c>
      <c r="P3" s="326" t="s">
        <v>4</v>
      </c>
      <c r="BM3" s="325"/>
    </row>
    <row r="4" spans="5:16 65:65" ht="13.35" customHeight="1">
      <c r="E4" s="327" t="s">
        <v>5</v>
      </c>
      <c r="F4" s="328">
        <v>1</v>
      </c>
      <c r="G4" s="327"/>
      <c r="H4" s="327"/>
      <c r="I4" s="329">
        <f>MATCH(F4,$J$4:$Q$4)</f>
        <v>2</v>
      </c>
      <c r="K4" s="331">
        <v>1</v>
      </c>
      <c r="L4" s="331">
        <v>2</v>
      </c>
      <c r="M4" s="331">
        <v>3</v>
      </c>
      <c r="O4" s="332">
        <v>4</v>
      </c>
      <c r="P4" s="332">
        <v>5</v>
      </c>
      <c r="BM4" s="330"/>
    </row>
    <row r="5" spans="5:16 65:65" ht="12.75">
      <c r="E5" s="333" t="s">
        <v>6</v>
      </c>
      <c r="F5" s="334">
        <v>1</v>
      </c>
      <c r="G5" s="333"/>
      <c r="H5" s="333"/>
      <c r="I5" s="329">
        <f>MATCH(F5,$J$4:$Q$4)</f>
        <v>2</v>
      </c>
      <c r="K5" s="333"/>
      <c r="L5" s="333"/>
      <c r="M5" s="333"/>
      <c r="O5" s="333"/>
      <c r="P5" s="333"/>
      <c r="BM5" s="335"/>
    </row>
    <row r="6" spans="5:16 65:65" ht="12.75">
      <c r="E6" s="333" t="s">
        <v>7</v>
      </c>
      <c r="F6" s="336">
        <f>INDEX(J6:Q6,MATCH(F4,J4:Q4,0))</f>
        <v>1</v>
      </c>
      <c r="H6" s="333"/>
      <c r="I6" s="329">
        <f>MATCH(F6,$J$4:$Q$4)</f>
        <v>2</v>
      </c>
      <c r="K6" s="337">
        <v>1</v>
      </c>
      <c r="L6" s="337">
        <v>2</v>
      </c>
      <c r="M6" s="337">
        <v>3</v>
      </c>
      <c r="O6" s="337">
        <v>1</v>
      </c>
      <c r="P6" s="337">
        <v>1</v>
      </c>
      <c r="BM6" s="335"/>
    </row>
    <row r="7" spans="5:16 65:65" ht="12.75">
      <c r="E7" s="333" t="s">
        <v>8</v>
      </c>
      <c r="F7" s="338">
        <f>COUNTIF(I11:I33,"tu")</f>
        <v>0</v>
      </c>
      <c r="H7" s="333"/>
      <c r="I7" s="339"/>
      <c r="K7" s="340" t="str">
        <f>IF(K6=$F$6,"Base case","")</f>
        <v>Base case</v>
      </c>
      <c r="L7" s="340" t="str">
        <f>IF(L6=$F$6,"Base case","")</f>
        <v/>
      </c>
      <c r="M7" s="340" t="str">
        <f>IF(M6=$F$6,"Base case","")</f>
        <v/>
      </c>
      <c r="O7" s="333"/>
      <c r="P7" s="333"/>
      <c r="BM7" s="335"/>
    </row>
    <row r="8" spans="5:16 65:65" ht="12.75">
      <c r="E8" s="333"/>
      <c r="F8" s="341"/>
      <c r="H8" s="333"/>
      <c r="I8" s="339"/>
      <c r="K8" s="342"/>
      <c r="L8" s="342"/>
      <c r="M8" s="342"/>
      <c r="O8" s="333"/>
      <c r="P8" s="333"/>
      <c r="BM8" s="335"/>
    </row>
    <row r="9" spans="1:16 65:65" ht="12.75">
      <c r="A9" s="306"/>
      <c r="B9" s="306"/>
      <c r="C9" s="307"/>
      <c r="D9" s="308"/>
      <c r="E9" s="343"/>
      <c r="F9" s="344" t="s">
        <v>9</v>
      </c>
      <c r="G9" s="345" t="s">
        <v>10</v>
      </c>
      <c r="H9" s="306" t="s">
        <v>11</v>
      </c>
      <c r="I9" s="324"/>
      <c r="K9" s="333"/>
      <c r="L9" s="333"/>
      <c r="M9" s="333"/>
      <c r="O9" s="333"/>
      <c r="P9" s="333"/>
      <c r="BM9" s="335"/>
    </row>
    <row r="11" spans="1:1" ht="12.75">
      <c r="A11" s="534" t="s">
        <v>12</v>
      </c>
    </row>
    <row r="13" spans="5:16" ht="12.75">
      <c r="E13" s="535" t="s">
        <v>13</v>
      </c>
      <c r="F13" s="539">
        <f>IF(INDEX(J13:Q13,$I$4)="",INDEX(J13:P13,$I$6),INDEX(J13:Q13,$I$4))</f>
        <v>46023</v>
      </c>
      <c r="G13" s="540" t="s">
        <v>14</v>
      </c>
      <c r="H13" s="540"/>
      <c r="I13" s="541" t="str">
        <f>IF(INDEX(J13:Q13,I$5)="",IF(INDEX(J13:Q13,I$6)=F13,"vw","tu"),IF(INDEX(J13:Q13,I$5)=F13,"vw","tu"))</f>
        <v>vw</v>
      </c>
      <c r="K13" s="542">
        <v>46023</v>
      </c>
      <c r="L13" s="542">
        <v>46023</v>
      </c>
      <c r="M13" s="542">
        <v>46023</v>
      </c>
      <c r="O13" s="542">
        <v>46023</v>
      </c>
      <c r="P13" s="542">
        <v>46023</v>
      </c>
    </row>
    <row r="14" spans="5:16" ht="12.75">
      <c r="E14" s="535" t="s">
        <v>15</v>
      </c>
      <c r="F14" s="539">
        <f>IF(INDEX(J14:Q14,$I$4)="",INDEX(J14:P14,$I$6),INDEX(J14:Q14,$I$4))</f>
        <v>46387</v>
      </c>
      <c r="G14" s="540" t="s">
        <v>14</v>
      </c>
      <c r="H14" s="540"/>
      <c r="I14" s="541" t="str">
        <f>IF(INDEX(J14:Q14,I$5)="",IF(INDEX(J14:Q14,I$6)=F14,"vw","tu"),IF(INDEX(J14:Q14,I$5)=F14,"vw","tu"))</f>
        <v>vw</v>
      </c>
      <c r="K14" s="542">
        <v>46387</v>
      </c>
      <c r="L14" s="542">
        <v>46387</v>
      </c>
      <c r="M14" s="542">
        <v>46387</v>
      </c>
      <c r="O14" s="542">
        <v>46387</v>
      </c>
      <c r="P14" s="542">
        <v>46387</v>
      </c>
    </row>
    <row r="15" spans="5:16" ht="12.75">
      <c r="E15" s="535" t="s">
        <v>16</v>
      </c>
      <c r="F15" s="543">
        <f>IF(INDEX(J15:Q15,$I$4)="",INDEX(J15:P15,$I$6),INDEX(J15:Q15,$I$4))</f>
        <v>1</v>
      </c>
      <c r="G15" s="537" t="s">
        <v>17</v>
      </c>
      <c r="H15" s="537"/>
      <c r="I15" s="541" t="str">
        <f>IF(INDEX(J15:Q15,I$5)="",IF(INDEX(J15:Q15,I$6)=F15,"vw","tu"),IF(INDEX(J15:Q15,I$5)=F15,"vw","tu"))</f>
        <v>vw</v>
      </c>
      <c r="K15" s="544">
        <v>1</v>
      </c>
      <c r="L15" s="544">
        <v>1</v>
      </c>
      <c r="M15" s="544">
        <v>1</v>
      </c>
      <c r="O15" s="544">
        <v>1</v>
      </c>
      <c r="P15" s="544">
        <v>1</v>
      </c>
    </row>
    <row r="16" spans="5:16" ht="12.75">
      <c r="E16" s="535" t="s">
        <v>18</v>
      </c>
      <c r="F16" s="543">
        <f>IF(INDEX(J16:Q16,$I$4)="",INDEX(J16:P16,$I$6),INDEX(J16:Q16,$I$4))</f>
        <v>3</v>
      </c>
      <c r="G16" s="537" t="s">
        <v>17</v>
      </c>
      <c r="H16" s="537"/>
      <c r="I16" s="541" t="str">
        <f>IF(INDEX(J16:Q16,I$5)="",IF(INDEX(J16:Q16,I$6)=F16,"vw","tu"),IF(INDEX(J16:Q16,I$5)=F16,"vw","tu"))</f>
        <v>vw</v>
      </c>
      <c r="K16" s="544">
        <v>3</v>
      </c>
      <c r="L16" s="544">
        <v>3</v>
      </c>
      <c r="M16" s="544">
        <v>3</v>
      </c>
      <c r="O16" s="544">
        <v>3</v>
      </c>
      <c r="P16" s="544">
        <v>3</v>
      </c>
    </row>
    <row r="17" spans="5:16" ht="12.75">
      <c r="E17" s="535" t="s">
        <v>19</v>
      </c>
      <c r="F17" s="543">
        <f>IF(INDEX(J17:Q17,$I$4)="",INDEX(J17:P17,$I$6),INDEX(J17:Q17,$I$4))</f>
        <v>12</v>
      </c>
      <c r="G17" s="537" t="s">
        <v>20</v>
      </c>
      <c r="H17" s="537"/>
      <c r="I17" s="541" t="str">
        <f>IF(INDEX(J17:Q17,I$5)="",IF(INDEX(J17:Q17,I$6)=F17,"vw","tu"),IF(INDEX(J17:Q17,I$5)=F17,"vw","tu"))</f>
        <v>vw</v>
      </c>
      <c r="K17" s="544">
        <v>12</v>
      </c>
      <c r="L17" s="544">
        <v>12</v>
      </c>
      <c r="M17" s="544">
        <v>12</v>
      </c>
      <c r="O17" s="544">
        <v>12</v>
      </c>
      <c r="P17" s="544">
        <v>12</v>
      </c>
    </row>
    <row r="18" spans="5:16" ht="12.75">
      <c r="E18" s="535" t="s">
        <v>21</v>
      </c>
      <c r="F18" s="543">
        <f>IF(INDEX(J18:Q18,$I$4)="",INDEX(J18:P18,$I$6),INDEX(J18:Q18,$I$4))</f>
        <v>12</v>
      </c>
      <c r="G18" s="537" t="s">
        <v>22</v>
      </c>
      <c r="H18" s="537"/>
      <c r="I18" s="541" t="str">
        <f>IF(INDEX(J18:Q18,I$5)="",IF(INDEX(J18:Q18,I$6)=F18,"vw","tu"),IF(INDEX(J18:Q18,I$5)=F18,"vw","tu"))</f>
        <v>vw</v>
      </c>
      <c r="K18" s="544">
        <v>12</v>
      </c>
      <c r="L18" s="544">
        <v>12</v>
      </c>
      <c r="M18" s="544">
        <v>12</v>
      </c>
      <c r="O18" s="544">
        <v>12</v>
      </c>
      <c r="P18" s="544">
        <v>12</v>
      </c>
    </row>
    <row r="19" spans="5:16" ht="12.75">
      <c r="E19" s="535" t="s">
        <v>23</v>
      </c>
      <c r="F19" s="539">
        <f>IF(INDEX(J19:Q19,$I$4)="",INDEX(J19:P19,$I$6),INDEX(J19:Q19,$I$4))</f>
        <v>46203</v>
      </c>
      <c r="G19" s="540" t="s">
        <v>14</v>
      </c>
      <c r="H19" s="540"/>
      <c r="I19" s="541" t="str">
        <f>IF(INDEX(J19:Q19,I$5)="",IF(INDEX(J19:Q19,I$6)=F19,"vw","tu"),IF(INDEX(J19:Q19,I$5)=F19,"vw","tu"))</f>
        <v>vw</v>
      </c>
      <c r="K19" s="542">
        <v>46203</v>
      </c>
      <c r="L19" s="542">
        <v>46203</v>
      </c>
      <c r="M19" s="542">
        <v>46203</v>
      </c>
      <c r="O19" s="542">
        <v>46203</v>
      </c>
      <c r="P19" s="542">
        <v>46203</v>
      </c>
    </row>
    <row r="20" spans="5:16" ht="12.75">
      <c r="E20" s="535" t="s">
        <v>24</v>
      </c>
      <c r="F20" s="543">
        <f>IF(INDEX(J20:Q20,$I$4)="",INDEX(J20:P20,$I$6),INDEX(J20:Q20,$I$4))</f>
        <v>24</v>
      </c>
      <c r="G20" s="537" t="s">
        <v>17</v>
      </c>
      <c r="H20" s="537"/>
      <c r="I20" s="541" t="str">
        <f>IF(INDEX(J20:Q20,I$5)="",IF(INDEX(J20:Q20,I$6)=F20,"vw","tu"),IF(INDEX(J20:Q20,I$5)=F20,"vw","tu"))</f>
        <v>vw</v>
      </c>
      <c r="K20" s="544">
        <v>24</v>
      </c>
      <c r="L20" s="544">
        <v>24</v>
      </c>
      <c r="M20" s="544">
        <v>24</v>
      </c>
      <c r="O20" s="544">
        <v>24</v>
      </c>
      <c r="P20" s="544">
        <v>24</v>
      </c>
    </row>
    <row r="21" spans="5:16" ht="12.75">
      <c r="E21" s="535" t="s">
        <v>25</v>
      </c>
      <c r="F21" s="543">
        <f>IF(INDEX(J21:Q21,$I$4)="",INDEX(J21:P21,$I$6),INDEX(J21:Q21,$I$4))</f>
        <v>25</v>
      </c>
      <c r="G21" s="537" t="s">
        <v>26</v>
      </c>
      <c r="H21" s="537"/>
      <c r="I21" s="541" t="str">
        <f>IF(INDEX(J21:Q21,I$5)="",IF(INDEX(J21:Q21,I$6)=F21,"vw","tu"),IF(INDEX(J21:Q21,I$5)=F21,"vw","tu"))</f>
        <v>vw</v>
      </c>
      <c r="K21" s="544">
        <v>25</v>
      </c>
      <c r="L21" s="544">
        <v>25</v>
      </c>
      <c r="M21" s="544">
        <v>25</v>
      </c>
      <c r="O21" s="544">
        <v>25</v>
      </c>
      <c r="P21" s="544">
        <v>25</v>
      </c>
    </row>
    <row r="24" spans="1:17" ht="12.75">
      <c r="A24" s="545" t="s">
        <v>27</v>
      </c>
      <c r="B24" s="538"/>
      <c r="C24" s="538"/>
      <c r="D24" s="538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</row>
    <row r="26" spans="5:7" ht="12.75">
      <c r="E26" s="535" t="s">
        <v>28</v>
      </c>
      <c r="F26" s="544">
        <v>12</v>
      </c>
      <c r="G26" s="537" t="s">
        <v>17</v>
      </c>
    </row>
    <row r="28" spans="2:2" ht="12.75">
      <c r="B28" s="534" t="s">
        <v>29</v>
      </c>
    </row>
    <row r="29" spans="5:7" ht="12.75">
      <c r="E29" s="535" t="s">
        <v>30</v>
      </c>
      <c r="F29" s="544" t="s">
        <v>31</v>
      </c>
      <c r="G29" s="537" t="s">
        <v>32</v>
      </c>
    </row>
    <row r="30" spans="5:7" ht="12.75">
      <c r="E30" s="535" t="s">
        <v>33</v>
      </c>
      <c r="F30" s="544" t="s">
        <v>34</v>
      </c>
      <c r="G30" s="537" t="s">
        <v>32</v>
      </c>
    </row>
    <row r="31" spans="5:7" ht="12.75">
      <c r="E31" s="535" t="s">
        <v>35</v>
      </c>
      <c r="F31" s="544" t="s">
        <v>35</v>
      </c>
      <c r="G31" s="537" t="s">
        <v>32</v>
      </c>
    </row>
    <row r="32" spans="5:7" ht="12.75">
      <c r="E32" s="535" t="s">
        <v>36</v>
      </c>
      <c r="F32" s="544" t="s">
        <v>36</v>
      </c>
      <c r="G32" s="537" t="s">
        <v>32</v>
      </c>
    </row>
    <row r="33" spans="5:7" ht="12.75">
      <c r="E33" s="535" t="s">
        <v>37</v>
      </c>
      <c r="F33" s="544" t="s">
        <v>37</v>
      </c>
      <c r="G33" s="537" t="s">
        <v>32</v>
      </c>
    </row>
  </sheetData>
  <conditionalFormatting sqref="I13:I14">
    <cfRule type="cellIs" priority="1" dxfId="254" operator="equal">
      <formula>"tu"</formula>
    </cfRule>
  </conditionalFormatting>
  <conditionalFormatting sqref="O13:P14">
    <cfRule type="cellIs" priority="2" dxfId="259" operator="equal">
      <formula>""</formula>
    </cfRule>
  </conditionalFormatting>
  <conditionalFormatting sqref="I15:I18">
    <cfRule type="cellIs" priority="3" dxfId="254" operator="equal">
      <formula>"tu"</formula>
    </cfRule>
  </conditionalFormatting>
  <conditionalFormatting sqref="O15:P18">
    <cfRule type="cellIs" priority="4" dxfId="259" operator="equal">
      <formula>""</formula>
    </cfRule>
  </conditionalFormatting>
  <conditionalFormatting sqref="I19">
    <cfRule type="cellIs" priority="5" dxfId="254" operator="equal">
      <formula>"tu"</formula>
    </cfRule>
  </conditionalFormatting>
  <conditionalFormatting sqref="O19:P19">
    <cfRule type="cellIs" priority="6" dxfId="259" operator="equal">
      <formula>""</formula>
    </cfRule>
  </conditionalFormatting>
  <conditionalFormatting sqref="I20:I21">
    <cfRule type="cellIs" priority="7" dxfId="254" operator="equal">
      <formula>"tu"</formula>
    </cfRule>
  </conditionalFormatting>
  <conditionalFormatting sqref="O20:P21">
    <cfRule type="cellIs" priority="8" dxfId="259" operator="equal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RL174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92" width="11.5714285714286" style="309" customWidth="1"/>
    <col min="193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Time - Base case 1</v>
      </c>
    </row>
    <row r="2" spans="1:480" ht="12.75">
      <c r="A2" s="320"/>
      <c r="B2" s="320"/>
      <c r="C2" s="392"/>
      <c r="D2" s="393"/>
      <c r="E2" s="394" t="s">
        <v>38</v>
      </c>
      <c r="F2" s="395">
        <f>Check!$F$9</f>
        <v>0</v>
      </c>
      <c r="G2" s="396" t="s">
        <v>39</v>
      </c>
      <c r="H2" s="397"/>
      <c r="I2" s="397"/>
      <c r="J2" s="397">
        <f t="shared" si="0" ref="J2:GJ2">J50</f>
        <v>46053</v>
      </c>
      <c r="K2" s="397">
        <f t="shared" si="0"/>
        <v>46081</v>
      </c>
      <c r="L2" s="397">
        <f t="shared" si="0"/>
        <v>46112</v>
      </c>
      <c r="M2" s="397">
        <f t="shared" si="0"/>
        <v>46142</v>
      </c>
      <c r="N2" s="397">
        <f t="shared" si="0"/>
        <v>46173</v>
      </c>
      <c r="O2" s="397">
        <f t="shared" si="0"/>
        <v>46203</v>
      </c>
      <c r="P2" s="397">
        <f t="shared" si="0"/>
        <v>46234</v>
      </c>
      <c r="Q2" s="397">
        <f t="shared" si="0"/>
        <v>46265</v>
      </c>
      <c r="R2" s="397">
        <f t="shared" si="0"/>
        <v>46295</v>
      </c>
      <c r="S2" s="397">
        <f t="shared" si="0"/>
        <v>46326</v>
      </c>
      <c r="T2" s="397">
        <f t="shared" si="0"/>
        <v>46356</v>
      </c>
      <c r="U2" s="397">
        <f t="shared" si="0"/>
        <v>46387</v>
      </c>
      <c r="V2" s="397">
        <f t="shared" si="0"/>
        <v>46418</v>
      </c>
      <c r="W2" s="397">
        <f t="shared" si="0"/>
        <v>46446</v>
      </c>
      <c r="X2" s="397">
        <f t="shared" si="0"/>
        <v>46477</v>
      </c>
      <c r="Y2" s="397">
        <f t="shared" si="0"/>
        <v>46507</v>
      </c>
      <c r="Z2" s="397">
        <f t="shared" si="0"/>
        <v>46538</v>
      </c>
      <c r="AA2" s="397">
        <f t="shared" si="0"/>
        <v>46568</v>
      </c>
      <c r="AB2" s="397">
        <f t="shared" si="0"/>
        <v>46599</v>
      </c>
      <c r="AC2" s="397">
        <f t="shared" si="0"/>
        <v>46630</v>
      </c>
      <c r="AD2" s="397">
        <f t="shared" si="0"/>
        <v>46660</v>
      </c>
      <c r="AE2" s="397">
        <f t="shared" si="0"/>
        <v>46691</v>
      </c>
      <c r="AF2" s="397">
        <f t="shared" si="0"/>
        <v>46721</v>
      </c>
      <c r="AG2" s="397">
        <f t="shared" si="0"/>
        <v>46752</v>
      </c>
      <c r="AH2" s="397">
        <f t="shared" si="0"/>
        <v>46783</v>
      </c>
      <c r="AI2" s="397">
        <f t="shared" si="0"/>
        <v>46812</v>
      </c>
      <c r="AJ2" s="397">
        <f t="shared" si="0"/>
        <v>46843</v>
      </c>
      <c r="AK2" s="397">
        <f t="shared" si="0"/>
        <v>46873</v>
      </c>
      <c r="AL2" s="397">
        <f t="shared" si="0"/>
        <v>46904</v>
      </c>
      <c r="AM2" s="397">
        <f t="shared" si="0"/>
        <v>46934</v>
      </c>
      <c r="AN2" s="397">
        <f t="shared" si="0"/>
        <v>47026</v>
      </c>
      <c r="AO2" s="397">
        <f t="shared" si="0"/>
        <v>47118</v>
      </c>
      <c r="AP2" s="397">
        <f t="shared" si="0"/>
        <v>47208</v>
      </c>
      <c r="AQ2" s="397">
        <f t="shared" si="0"/>
        <v>47299</v>
      </c>
      <c r="AR2" s="397">
        <f t="shared" si="0"/>
        <v>47391</v>
      </c>
      <c r="AS2" s="397">
        <f t="shared" si="0"/>
        <v>47483</v>
      </c>
      <c r="AT2" s="397">
        <f t="shared" si="0"/>
        <v>47573</v>
      </c>
      <c r="AU2" s="397">
        <f t="shared" si="0"/>
        <v>47664</v>
      </c>
      <c r="AV2" s="397">
        <f t="shared" si="0"/>
        <v>47756</v>
      </c>
      <c r="AW2" s="397">
        <f t="shared" si="0"/>
        <v>47848</v>
      </c>
      <c r="AX2" s="397">
        <f t="shared" si="0"/>
        <v>47938</v>
      </c>
      <c r="AY2" s="397">
        <f t="shared" si="0"/>
        <v>48029</v>
      </c>
      <c r="AZ2" s="397">
        <f t="shared" si="0"/>
        <v>48121</v>
      </c>
      <c r="BA2" s="397">
        <f t="shared" si="0"/>
        <v>48213</v>
      </c>
      <c r="BB2" s="397">
        <f t="shared" si="0"/>
        <v>48304</v>
      </c>
      <c r="BC2" s="397">
        <f t="shared" si="0"/>
        <v>48395</v>
      </c>
      <c r="BD2" s="397">
        <f t="shared" si="0"/>
        <v>48487</v>
      </c>
      <c r="BE2" s="397">
        <f t="shared" si="0"/>
        <v>48579</v>
      </c>
      <c r="BF2" s="397">
        <f t="shared" si="0"/>
        <v>48669</v>
      </c>
      <c r="BG2" s="397">
        <f t="shared" si="0"/>
        <v>48760</v>
      </c>
      <c r="BH2" s="397">
        <f t="shared" si="0"/>
        <v>48852</v>
      </c>
      <c r="BI2" s="397">
        <f t="shared" si="0"/>
        <v>48944</v>
      </c>
      <c r="BJ2" s="397">
        <f t="shared" si="0"/>
        <v>49034</v>
      </c>
      <c r="BK2" s="397">
        <f t="shared" si="0"/>
        <v>49125</v>
      </c>
      <c r="BL2" s="397">
        <f t="shared" si="0"/>
        <v>49217</v>
      </c>
      <c r="BM2" s="397">
        <f t="shared" si="0"/>
        <v>49309</v>
      </c>
      <c r="BN2" s="397">
        <f t="shared" si="0"/>
        <v>49399</v>
      </c>
      <c r="BO2" s="397">
        <f t="shared" si="0"/>
        <v>49490</v>
      </c>
      <c r="BP2" s="397">
        <f t="shared" si="0"/>
        <v>49582</v>
      </c>
      <c r="BQ2" s="397">
        <f t="shared" si="0"/>
        <v>49674</v>
      </c>
      <c r="BR2" s="397">
        <f t="shared" si="0"/>
        <v>49765</v>
      </c>
      <c r="BS2" s="397">
        <f t="shared" si="0"/>
        <v>49856</v>
      </c>
      <c r="BT2" s="397">
        <f t="shared" si="0"/>
        <v>49948</v>
      </c>
      <c r="BU2" s="397">
        <f t="shared" si="0"/>
        <v>50040</v>
      </c>
      <c r="BV2" s="397">
        <f t="shared" si="0"/>
        <v>50130</v>
      </c>
      <c r="BW2" s="397">
        <f t="shared" si="0"/>
        <v>50221</v>
      </c>
      <c r="BX2" s="397">
        <f t="shared" si="0"/>
        <v>50313</v>
      </c>
      <c r="BY2" s="397">
        <f t="shared" si="0"/>
        <v>50405</v>
      </c>
      <c r="BZ2" s="397">
        <f t="shared" si="0"/>
        <v>50495</v>
      </c>
      <c r="CA2" s="397">
        <f t="shared" si="0"/>
        <v>50586</v>
      </c>
      <c r="CB2" s="397">
        <f t="shared" si="0"/>
        <v>50678</v>
      </c>
      <c r="CC2" s="397">
        <f t="shared" si="0"/>
        <v>50770</v>
      </c>
      <c r="CD2" s="397">
        <f t="shared" si="0"/>
        <v>50860</v>
      </c>
      <c r="CE2" s="397">
        <f t="shared" si="0"/>
        <v>50951</v>
      </c>
      <c r="CF2" s="397">
        <f t="shared" si="0"/>
        <v>51043</v>
      </c>
      <c r="CG2" s="397">
        <f t="shared" si="0"/>
        <v>51135</v>
      </c>
      <c r="CH2" s="397">
        <f t="shared" si="0"/>
        <v>51226</v>
      </c>
      <c r="CI2" s="397">
        <f t="shared" si="0"/>
        <v>51317</v>
      </c>
      <c r="CJ2" s="397">
        <f t="shared" si="0"/>
        <v>51409</v>
      </c>
      <c r="CK2" s="397">
        <f t="shared" si="0"/>
        <v>51501</v>
      </c>
      <c r="CL2" s="397">
        <f t="shared" si="0"/>
        <v>51591</v>
      </c>
      <c r="CM2" s="397">
        <f t="shared" si="0"/>
        <v>51682</v>
      </c>
      <c r="CN2" s="397">
        <f t="shared" si="0"/>
        <v>51774</v>
      </c>
      <c r="CO2" s="397">
        <f t="shared" si="0"/>
        <v>51866</v>
      </c>
      <c r="CP2" s="397">
        <f t="shared" si="0"/>
        <v>51956</v>
      </c>
      <c r="CQ2" s="397">
        <f t="shared" si="0"/>
        <v>52047</v>
      </c>
      <c r="CR2" s="397">
        <f t="shared" si="0"/>
        <v>52139</v>
      </c>
      <c r="CS2" s="397">
        <f t="shared" si="0"/>
        <v>52231</v>
      </c>
      <c r="CT2" s="397">
        <f t="shared" si="0"/>
        <v>52321</v>
      </c>
      <c r="CU2" s="397">
        <f t="shared" si="0"/>
        <v>52412</v>
      </c>
      <c r="CV2" s="397">
        <f t="shared" si="0"/>
        <v>52504</v>
      </c>
      <c r="CW2" s="397">
        <f t="shared" si="0"/>
        <v>52596</v>
      </c>
      <c r="CX2" s="397">
        <f t="shared" si="0"/>
        <v>52687</v>
      </c>
      <c r="CY2" s="397">
        <f t="shared" si="0"/>
        <v>52778</v>
      </c>
      <c r="CZ2" s="397">
        <f t="shared" si="0"/>
        <v>52870</v>
      </c>
      <c r="DA2" s="397">
        <f t="shared" si="0"/>
        <v>52962</v>
      </c>
      <c r="DB2" s="397">
        <f t="shared" si="0"/>
        <v>53052</v>
      </c>
      <c r="DC2" s="397">
        <f t="shared" si="0"/>
        <v>53143</v>
      </c>
      <c r="DD2" s="397">
        <f t="shared" si="0"/>
        <v>53235</v>
      </c>
      <c r="DE2" s="397">
        <f t="shared" si="0"/>
        <v>53327</v>
      </c>
      <c r="DF2" s="397">
        <f t="shared" si="0"/>
        <v>53417</v>
      </c>
      <c r="DG2" s="397">
        <f t="shared" si="0"/>
        <v>53508</v>
      </c>
      <c r="DH2" s="397">
        <f t="shared" si="0"/>
        <v>53600</v>
      </c>
      <c r="DI2" s="397">
        <f t="shared" si="0"/>
        <v>53692</v>
      </c>
      <c r="DJ2" s="397">
        <f t="shared" si="0"/>
        <v>53782</v>
      </c>
      <c r="DK2" s="397">
        <f t="shared" si="0"/>
        <v>53873</v>
      </c>
      <c r="DL2" s="397">
        <f t="shared" si="0"/>
        <v>53965</v>
      </c>
      <c r="DM2" s="397">
        <f t="shared" si="0"/>
        <v>54057</v>
      </c>
      <c r="DN2" s="397">
        <f t="shared" si="0"/>
        <v>54148</v>
      </c>
      <c r="DO2" s="397">
        <f t="shared" si="0"/>
        <v>54239</v>
      </c>
      <c r="DP2" s="397">
        <f t="shared" si="0"/>
        <v>54331</v>
      </c>
      <c r="DQ2" s="397">
        <f t="shared" si="0"/>
        <v>54423</v>
      </c>
      <c r="DR2" s="397">
        <f t="shared" si="0"/>
        <v>54513</v>
      </c>
      <c r="DS2" s="397">
        <f t="shared" si="0"/>
        <v>54604</v>
      </c>
      <c r="DT2" s="397">
        <f t="shared" si="0"/>
        <v>54696</v>
      </c>
      <c r="DU2" s="397">
        <f t="shared" si="0"/>
        <v>54788</v>
      </c>
      <c r="DV2" s="397">
        <f t="shared" si="0"/>
        <v>54878</v>
      </c>
      <c r="DW2" s="397">
        <f t="shared" si="0"/>
        <v>54969</v>
      </c>
      <c r="DX2" s="397">
        <f t="shared" si="0"/>
        <v>55061</v>
      </c>
      <c r="DY2" s="397">
        <f t="shared" si="0"/>
        <v>55153</v>
      </c>
      <c r="DZ2" s="397">
        <f t="shared" si="0"/>
        <v>55243</v>
      </c>
      <c r="EA2" s="397">
        <f t="shared" si="0"/>
        <v>55334</v>
      </c>
      <c r="EB2" s="397">
        <f t="shared" si="0"/>
        <v>55426</v>
      </c>
      <c r="EC2" s="397">
        <f t="shared" si="0"/>
        <v>55518</v>
      </c>
      <c r="ED2" s="397">
        <f t="shared" si="0"/>
        <v>55609</v>
      </c>
      <c r="EE2" s="397">
        <f t="shared" si="0"/>
        <v>55700</v>
      </c>
      <c r="EF2" s="397">
        <f t="shared" si="0"/>
        <v>55792</v>
      </c>
      <c r="EG2" s="397">
        <f t="shared" si="0"/>
        <v>55884</v>
      </c>
      <c r="EH2" s="397">
        <f t="shared" si="0"/>
        <v>55974</v>
      </c>
      <c r="EI2" s="397">
        <f t="shared" si="0"/>
        <v>56065</v>
      </c>
      <c r="EJ2" s="397">
        <f t="shared" si="0"/>
        <v>56157</v>
      </c>
      <c r="EK2" s="397">
        <f t="shared" si="0"/>
        <v>56249</v>
      </c>
      <c r="EL2" s="397">
        <f t="shared" si="0"/>
        <v>56339</v>
      </c>
      <c r="EM2" s="397">
        <f t="shared" si="0"/>
        <v>56430</v>
      </c>
      <c r="EN2" s="397">
        <f t="shared" si="0"/>
        <v>56522</v>
      </c>
      <c r="EO2" s="397">
        <f t="shared" si="0"/>
        <v>56614</v>
      </c>
      <c r="EP2" s="397">
        <f t="shared" si="0"/>
        <v>56704</v>
      </c>
      <c r="EQ2" s="397">
        <f t="shared" si="0"/>
        <v>56795</v>
      </c>
      <c r="ER2" s="397">
        <f t="shared" si="0"/>
        <v>56887</v>
      </c>
      <c r="ES2" s="397">
        <f t="shared" si="0"/>
        <v>56979</v>
      </c>
      <c r="ET2" s="397">
        <f t="shared" si="0"/>
        <v>57070</v>
      </c>
      <c r="EU2" s="397">
        <f t="shared" si="0"/>
        <v>57161</v>
      </c>
      <c r="EV2" s="397">
        <f t="shared" si="0"/>
        <v>57253</v>
      </c>
      <c r="EW2" s="397">
        <f t="shared" si="0"/>
        <v>57345</v>
      </c>
      <c r="EX2" s="397">
        <f t="shared" si="0"/>
        <v>57435</v>
      </c>
      <c r="EY2" s="397">
        <f t="shared" si="0"/>
        <v>57526</v>
      </c>
      <c r="EZ2" s="397">
        <f t="shared" si="0"/>
        <v>57618</v>
      </c>
      <c r="FA2" s="397">
        <f t="shared" si="0"/>
        <v>57710</v>
      </c>
      <c r="FB2" s="397">
        <f t="shared" si="0"/>
        <v>57800</v>
      </c>
      <c r="FC2" s="397">
        <f t="shared" si="0"/>
        <v>57891</v>
      </c>
      <c r="FD2" s="397">
        <f t="shared" si="0"/>
        <v>57983</v>
      </c>
      <c r="FE2" s="397">
        <f t="shared" si="0"/>
        <v>58075</v>
      </c>
      <c r="FF2" s="397">
        <f t="shared" si="0"/>
        <v>58165</v>
      </c>
      <c r="FG2" s="397">
        <f t="shared" si="0"/>
        <v>58256</v>
      </c>
      <c r="FH2" s="397">
        <f t="shared" si="0"/>
        <v>58348</v>
      </c>
      <c r="FI2" s="397">
        <f t="shared" si="0"/>
        <v>58440</v>
      </c>
      <c r="FJ2" s="397">
        <f t="shared" si="0"/>
        <v>58531</v>
      </c>
      <c r="FK2" s="397">
        <f t="shared" si="0"/>
        <v>58622</v>
      </c>
      <c r="FL2" s="397">
        <f t="shared" si="0"/>
        <v>58714</v>
      </c>
      <c r="FM2" s="397">
        <f t="shared" si="0"/>
        <v>58806</v>
      </c>
      <c r="FN2" s="397">
        <f t="shared" si="0"/>
        <v>58896</v>
      </c>
      <c r="FO2" s="397">
        <f t="shared" si="0"/>
        <v>58987</v>
      </c>
      <c r="FP2" s="397">
        <f t="shared" si="0"/>
        <v>59079</v>
      </c>
      <c r="FQ2" s="397">
        <f t="shared" si="0"/>
        <v>59171</v>
      </c>
      <c r="FR2" s="397">
        <f t="shared" si="0"/>
        <v>59261</v>
      </c>
      <c r="FS2" s="397">
        <f t="shared" si="0"/>
        <v>59352</v>
      </c>
      <c r="FT2" s="397">
        <f t="shared" si="0"/>
        <v>59444</v>
      </c>
      <c r="FU2" s="397">
        <f t="shared" si="0"/>
        <v>59536</v>
      </c>
      <c r="FV2" s="397">
        <f t="shared" si="0"/>
        <v>59626</v>
      </c>
      <c r="FW2" s="397">
        <f t="shared" si="0"/>
        <v>59717</v>
      </c>
      <c r="FX2" s="397">
        <f t="shared" si="0"/>
        <v>59809</v>
      </c>
      <c r="FY2" s="397">
        <f t="shared" si="0"/>
        <v>59901</v>
      </c>
      <c r="FZ2" s="397">
        <f t="shared" si="0"/>
        <v>59992</v>
      </c>
      <c r="GA2" s="397">
        <f t="shared" si="0"/>
        <v>60083</v>
      </c>
      <c r="GB2" s="397">
        <f t="shared" si="0"/>
        <v>60175</v>
      </c>
      <c r="GC2" s="397">
        <f t="shared" si="0"/>
        <v>60267</v>
      </c>
      <c r="GD2" s="397">
        <f t="shared" si="0"/>
        <v>60357</v>
      </c>
      <c r="GE2" s="397">
        <f t="shared" si="0"/>
        <v>60448</v>
      </c>
      <c r="GF2" s="397">
        <f t="shared" si="0"/>
        <v>60540</v>
      </c>
      <c r="GG2" s="397">
        <f t="shared" si="0"/>
        <v>60632</v>
      </c>
      <c r="GH2" s="397">
        <f t="shared" si="0"/>
        <v>60722</v>
      </c>
      <c r="GI2" s="397">
        <f t="shared" si="0"/>
        <v>60813</v>
      </c>
      <c r="GJ2" s="397">
        <f t="shared" si="0"/>
        <v>60905</v>
      </c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29</v>
      </c>
      <c r="F3" s="395">
        <f>Check!$F$21</f>
        <v>0</v>
      </c>
      <c r="G3" s="398" t="s">
        <v>40</v>
      </c>
      <c r="H3" s="327"/>
      <c r="I3" s="327"/>
      <c r="J3" s="399" t="str">
        <f t="shared" si="1" ref="J3:GJ3">J133</f>
        <v>Pre-fcst</v>
      </c>
      <c r="K3" s="399" t="str">
        <f t="shared" si="1"/>
        <v>Pre-fcst</v>
      </c>
      <c r="L3" s="399" t="str">
        <f t="shared" si="1"/>
        <v>Pre-fcst</v>
      </c>
      <c r="M3" s="399" t="str">
        <f t="shared" si="1"/>
        <v>Pre-fcst</v>
      </c>
      <c r="N3" s="399" t="str">
        <f t="shared" si="1"/>
        <v>Pre-fcst</v>
      </c>
      <c r="O3" s="399" t="str">
        <f t="shared" si="1"/>
        <v>Fin Close</v>
      </c>
      <c r="P3" s="399" t="str">
        <f t="shared" si="1"/>
        <v>Construction</v>
      </c>
      <c r="Q3" s="399" t="str">
        <f t="shared" si="1"/>
        <v>Construction</v>
      </c>
      <c r="R3" s="399" t="str">
        <f t="shared" si="1"/>
        <v>Construction</v>
      </c>
      <c r="S3" s="399" t="str">
        <f t="shared" si="1"/>
        <v>Construction</v>
      </c>
      <c r="T3" s="399" t="str">
        <f t="shared" si="1"/>
        <v>Construction</v>
      </c>
      <c r="U3" s="399" t="str">
        <f t="shared" si="1"/>
        <v>Construction</v>
      </c>
      <c r="V3" s="399" t="str">
        <f t="shared" si="1"/>
        <v>Construction</v>
      </c>
      <c r="W3" s="399" t="str">
        <f t="shared" si="1"/>
        <v>Construction</v>
      </c>
      <c r="X3" s="399" t="str">
        <f t="shared" si="1"/>
        <v>Construction</v>
      </c>
      <c r="Y3" s="399" t="str">
        <f t="shared" si="1"/>
        <v>Construction</v>
      </c>
      <c r="Z3" s="399" t="str">
        <f t="shared" si="1"/>
        <v>Construction</v>
      </c>
      <c r="AA3" s="399" t="str">
        <f t="shared" si="1"/>
        <v>Construction</v>
      </c>
      <c r="AB3" s="399" t="str">
        <f t="shared" si="1"/>
        <v>Construction</v>
      </c>
      <c r="AC3" s="399" t="str">
        <f t="shared" si="1"/>
        <v>Construction</v>
      </c>
      <c r="AD3" s="399" t="str">
        <f t="shared" si="1"/>
        <v>Construction</v>
      </c>
      <c r="AE3" s="399" t="str">
        <f t="shared" si="1"/>
        <v>Construction</v>
      </c>
      <c r="AF3" s="399" t="str">
        <f t="shared" si="1"/>
        <v>Construction</v>
      </c>
      <c r="AG3" s="399" t="str">
        <f t="shared" si="1"/>
        <v>Construction</v>
      </c>
      <c r="AH3" s="399" t="str">
        <f t="shared" si="1"/>
        <v>Construction</v>
      </c>
      <c r="AI3" s="399" t="str">
        <f t="shared" si="1"/>
        <v>Construction</v>
      </c>
      <c r="AJ3" s="399" t="str">
        <f t="shared" si="1"/>
        <v>Construction</v>
      </c>
      <c r="AK3" s="399" t="str">
        <f t="shared" si="1"/>
        <v>Construction</v>
      </c>
      <c r="AL3" s="399" t="str">
        <f t="shared" si="1"/>
        <v>Construction</v>
      </c>
      <c r="AM3" s="399" t="str">
        <f t="shared" si="1"/>
        <v>Construction</v>
      </c>
      <c r="AN3" s="399" t="str">
        <f t="shared" si="1"/>
        <v>Operations</v>
      </c>
      <c r="AO3" s="399" t="str">
        <f t="shared" si="1"/>
        <v>Operations</v>
      </c>
      <c r="AP3" s="399" t="str">
        <f t="shared" si="1"/>
        <v>Operations</v>
      </c>
      <c r="AQ3" s="399" t="str">
        <f t="shared" si="1"/>
        <v>Operations</v>
      </c>
      <c r="AR3" s="399" t="str">
        <f t="shared" si="1"/>
        <v>Operations</v>
      </c>
      <c r="AS3" s="399" t="str">
        <f t="shared" si="1"/>
        <v>Operations</v>
      </c>
      <c r="AT3" s="399" t="str">
        <f t="shared" si="1"/>
        <v>Operations</v>
      </c>
      <c r="AU3" s="399" t="str">
        <f t="shared" si="1"/>
        <v>Operations</v>
      </c>
      <c r="AV3" s="399" t="str">
        <f t="shared" si="1"/>
        <v>Operations</v>
      </c>
      <c r="AW3" s="399" t="str">
        <f t="shared" si="1"/>
        <v>Operations</v>
      </c>
      <c r="AX3" s="399" t="str">
        <f t="shared" si="1"/>
        <v>Operations</v>
      </c>
      <c r="AY3" s="399" t="str">
        <f t="shared" si="1"/>
        <v>Operations</v>
      </c>
      <c r="AZ3" s="399" t="str">
        <f t="shared" si="1"/>
        <v>Operations</v>
      </c>
      <c r="BA3" s="399" t="str">
        <f t="shared" si="1"/>
        <v>Operations</v>
      </c>
      <c r="BB3" s="399" t="str">
        <f t="shared" si="1"/>
        <v>Operations</v>
      </c>
      <c r="BC3" s="399" t="str">
        <f t="shared" si="1"/>
        <v>Operations</v>
      </c>
      <c r="BD3" s="399" t="str">
        <f t="shared" si="1"/>
        <v>Operations</v>
      </c>
      <c r="BE3" s="399" t="str">
        <f t="shared" si="1"/>
        <v>Operations</v>
      </c>
      <c r="BF3" s="399" t="str">
        <f t="shared" si="1"/>
        <v>Operations</v>
      </c>
      <c r="BG3" s="399" t="str">
        <f t="shared" si="1"/>
        <v>Operations</v>
      </c>
      <c r="BH3" s="399" t="str">
        <f t="shared" si="1"/>
        <v>Operations</v>
      </c>
      <c r="BI3" s="399" t="str">
        <f t="shared" si="1"/>
        <v>Operations</v>
      </c>
      <c r="BJ3" s="399" t="str">
        <f t="shared" si="1"/>
        <v>Operations</v>
      </c>
      <c r="BK3" s="399" t="str">
        <f t="shared" si="1"/>
        <v>Operations</v>
      </c>
      <c r="BL3" s="399" t="str">
        <f t="shared" si="1"/>
        <v>Operations</v>
      </c>
      <c r="BM3" s="399" t="str">
        <f t="shared" si="1"/>
        <v>Operations</v>
      </c>
      <c r="BN3" s="399" t="str">
        <f t="shared" si="1"/>
        <v>Operations</v>
      </c>
      <c r="BO3" s="399" t="str">
        <f t="shared" si="1"/>
        <v>Operations</v>
      </c>
      <c r="BP3" s="399" t="str">
        <f t="shared" si="1"/>
        <v>Operations</v>
      </c>
      <c r="BQ3" s="399" t="str">
        <f t="shared" si="1"/>
        <v>Operations</v>
      </c>
      <c r="BR3" s="399" t="str">
        <f t="shared" si="1"/>
        <v>Operations</v>
      </c>
      <c r="BS3" s="399" t="str">
        <f t="shared" si="1"/>
        <v>Operations</v>
      </c>
      <c r="BT3" s="399" t="str">
        <f t="shared" si="1"/>
        <v>Operations</v>
      </c>
      <c r="BU3" s="399" t="str">
        <f t="shared" si="1"/>
        <v>Operations</v>
      </c>
      <c r="BV3" s="399" t="str">
        <f t="shared" si="1"/>
        <v>Operations</v>
      </c>
      <c r="BW3" s="399" t="str">
        <f t="shared" si="1"/>
        <v>Operations</v>
      </c>
      <c r="BX3" s="399" t="str">
        <f t="shared" si="1"/>
        <v>Operations</v>
      </c>
      <c r="BY3" s="399" t="str">
        <f t="shared" si="1"/>
        <v>Operations</v>
      </c>
      <c r="BZ3" s="399" t="str">
        <f t="shared" si="1"/>
        <v>Operations</v>
      </c>
      <c r="CA3" s="399" t="str">
        <f t="shared" si="1"/>
        <v>Operations</v>
      </c>
      <c r="CB3" s="399" t="str">
        <f t="shared" si="1"/>
        <v>Operations</v>
      </c>
      <c r="CC3" s="399" t="str">
        <f t="shared" si="1"/>
        <v>Operations</v>
      </c>
      <c r="CD3" s="399" t="str">
        <f t="shared" si="1"/>
        <v>Operations</v>
      </c>
      <c r="CE3" s="399" t="str">
        <f t="shared" si="1"/>
        <v>Operations</v>
      </c>
      <c r="CF3" s="399" t="str">
        <f t="shared" si="1"/>
        <v>Operations</v>
      </c>
      <c r="CG3" s="399" t="str">
        <f t="shared" si="1"/>
        <v>Operations</v>
      </c>
      <c r="CH3" s="399" t="str">
        <f t="shared" si="1"/>
        <v>Operations</v>
      </c>
      <c r="CI3" s="399" t="str">
        <f t="shared" si="1"/>
        <v>Operations</v>
      </c>
      <c r="CJ3" s="399" t="str">
        <f t="shared" si="1"/>
        <v>Operations</v>
      </c>
      <c r="CK3" s="399" t="str">
        <f t="shared" si="1"/>
        <v>Operations</v>
      </c>
      <c r="CL3" s="399" t="str">
        <f t="shared" si="1"/>
        <v>Operations</v>
      </c>
      <c r="CM3" s="399" t="str">
        <f t="shared" si="1"/>
        <v>Operations</v>
      </c>
      <c r="CN3" s="399" t="str">
        <f t="shared" si="1"/>
        <v>Operations</v>
      </c>
      <c r="CO3" s="399" t="str">
        <f t="shared" si="1"/>
        <v>Operations</v>
      </c>
      <c r="CP3" s="399" t="str">
        <f t="shared" si="1"/>
        <v>Operations</v>
      </c>
      <c r="CQ3" s="399" t="str">
        <f t="shared" si="1"/>
        <v>Operations</v>
      </c>
      <c r="CR3" s="399" t="str">
        <f t="shared" si="1"/>
        <v>Operations</v>
      </c>
      <c r="CS3" s="399" t="str">
        <f t="shared" si="1"/>
        <v>Operations</v>
      </c>
      <c r="CT3" s="399" t="str">
        <f t="shared" si="1"/>
        <v>Operations</v>
      </c>
      <c r="CU3" s="399" t="str">
        <f t="shared" si="1"/>
        <v>Operations</v>
      </c>
      <c r="CV3" s="399" t="str">
        <f t="shared" si="1"/>
        <v>Operations</v>
      </c>
      <c r="CW3" s="399" t="str">
        <f t="shared" si="1"/>
        <v>Operations</v>
      </c>
      <c r="CX3" s="399" t="str">
        <f t="shared" si="1"/>
        <v>Operations</v>
      </c>
      <c r="CY3" s="399" t="str">
        <f t="shared" si="1"/>
        <v>Operations</v>
      </c>
      <c r="CZ3" s="399" t="str">
        <f t="shared" si="1"/>
        <v>Operations</v>
      </c>
      <c r="DA3" s="399" t="str">
        <f t="shared" si="1"/>
        <v>Operations</v>
      </c>
      <c r="DB3" s="399" t="str">
        <f t="shared" si="1"/>
        <v>Operations</v>
      </c>
      <c r="DC3" s="399" t="str">
        <f t="shared" si="1"/>
        <v>Operations</v>
      </c>
      <c r="DD3" s="399" t="str">
        <f t="shared" si="1"/>
        <v>Operations</v>
      </c>
      <c r="DE3" s="399" t="str">
        <f t="shared" si="1"/>
        <v>Operations</v>
      </c>
      <c r="DF3" s="399" t="str">
        <f t="shared" si="1"/>
        <v>Operations</v>
      </c>
      <c r="DG3" s="399" t="str">
        <f t="shared" si="1"/>
        <v>Operations</v>
      </c>
      <c r="DH3" s="399" t="str">
        <f t="shared" si="1"/>
        <v>Operations</v>
      </c>
      <c r="DI3" s="399" t="str">
        <f t="shared" si="1"/>
        <v>Operations</v>
      </c>
      <c r="DJ3" s="399" t="str">
        <f t="shared" si="1"/>
        <v>Operations</v>
      </c>
      <c r="DK3" s="399" t="str">
        <f t="shared" si="1"/>
        <v>Operations</v>
      </c>
      <c r="DL3" s="399" t="str">
        <f t="shared" si="1"/>
        <v>Operations</v>
      </c>
      <c r="DM3" s="399" t="str">
        <f t="shared" si="1"/>
        <v>Operations</v>
      </c>
      <c r="DN3" s="399" t="str">
        <f t="shared" si="1"/>
        <v>Operations</v>
      </c>
      <c r="DO3" s="399" t="str">
        <f t="shared" si="1"/>
        <v>Operations</v>
      </c>
      <c r="DP3" s="399" t="str">
        <f t="shared" si="1"/>
        <v>Operations</v>
      </c>
      <c r="DQ3" s="399" t="str">
        <f t="shared" si="1"/>
        <v>Operations</v>
      </c>
      <c r="DR3" s="399" t="str">
        <f t="shared" si="1"/>
        <v>Operations</v>
      </c>
      <c r="DS3" s="399" t="str">
        <f t="shared" si="1"/>
        <v>Operations</v>
      </c>
      <c r="DT3" s="399" t="str">
        <f t="shared" si="1"/>
        <v>Operations</v>
      </c>
      <c r="DU3" s="399" t="str">
        <f t="shared" si="1"/>
        <v>Operations</v>
      </c>
      <c r="DV3" s="399" t="str">
        <f t="shared" si="1"/>
        <v>Operations</v>
      </c>
      <c r="DW3" s="399" t="str">
        <f t="shared" si="1"/>
        <v>Operations</v>
      </c>
      <c r="DX3" s="399" t="str">
        <f t="shared" si="1"/>
        <v>Operations</v>
      </c>
      <c r="DY3" s="399" t="str">
        <f t="shared" si="1"/>
        <v>Operations</v>
      </c>
      <c r="DZ3" s="399" t="str">
        <f t="shared" si="1"/>
        <v>Operations</v>
      </c>
      <c r="EA3" s="399" t="str">
        <f t="shared" si="1"/>
        <v>Operations</v>
      </c>
      <c r="EB3" s="399" t="str">
        <f t="shared" si="1"/>
        <v>Operations</v>
      </c>
      <c r="EC3" s="399" t="str">
        <f t="shared" si="1"/>
        <v>Operations</v>
      </c>
      <c r="ED3" s="399" t="str">
        <f t="shared" si="1"/>
        <v>Operations</v>
      </c>
      <c r="EE3" s="399" t="str">
        <f t="shared" si="1"/>
        <v>Operations</v>
      </c>
      <c r="EF3" s="399" t="str">
        <f t="shared" si="1"/>
        <v>Operations</v>
      </c>
      <c r="EG3" s="399" t="str">
        <f t="shared" si="1"/>
        <v>Operations</v>
      </c>
      <c r="EH3" s="399" t="str">
        <f t="shared" si="1"/>
        <v>Operations</v>
      </c>
      <c r="EI3" s="399" t="str">
        <f t="shared" si="1"/>
        <v>Operations</v>
      </c>
      <c r="EJ3" s="399" t="str">
        <f t="shared" si="1"/>
        <v>Post ops</v>
      </c>
      <c r="EK3" s="399" t="str">
        <f t="shared" si="1"/>
        <v>Post ops</v>
      </c>
      <c r="EL3" s="399" t="str">
        <f t="shared" si="1"/>
        <v>Post ops</v>
      </c>
      <c r="EM3" s="399" t="str">
        <f t="shared" si="1"/>
        <v>Post ops</v>
      </c>
      <c r="EN3" s="399" t="str">
        <f t="shared" si="1"/>
        <v>Post ops</v>
      </c>
      <c r="EO3" s="399" t="str">
        <f t="shared" si="1"/>
        <v>Post ops</v>
      </c>
      <c r="EP3" s="399" t="str">
        <f t="shared" si="1"/>
        <v>Post ops</v>
      </c>
      <c r="EQ3" s="399" t="str">
        <f t="shared" si="1"/>
        <v>Post ops</v>
      </c>
      <c r="ER3" s="399" t="str">
        <f t="shared" si="1"/>
        <v>Post ops</v>
      </c>
      <c r="ES3" s="399" t="str">
        <f t="shared" si="1"/>
        <v>Post ops</v>
      </c>
      <c r="ET3" s="399" t="str">
        <f t="shared" si="1"/>
        <v>Post ops</v>
      </c>
      <c r="EU3" s="399" t="str">
        <f t="shared" si="1"/>
        <v>Post ops</v>
      </c>
      <c r="EV3" s="399" t="str">
        <f t="shared" si="1"/>
        <v>Post ops</v>
      </c>
      <c r="EW3" s="399" t="str">
        <f t="shared" si="1"/>
        <v>Post ops</v>
      </c>
      <c r="EX3" s="399" t="str">
        <f t="shared" si="1"/>
        <v>Post ops</v>
      </c>
      <c r="EY3" s="399" t="str">
        <f t="shared" si="1"/>
        <v>Post ops</v>
      </c>
      <c r="EZ3" s="399" t="str">
        <f t="shared" si="1"/>
        <v>Post ops</v>
      </c>
      <c r="FA3" s="399" t="str">
        <f t="shared" si="1"/>
        <v>Post ops</v>
      </c>
      <c r="FB3" s="399" t="str">
        <f t="shared" si="1"/>
        <v>Post ops</v>
      </c>
      <c r="FC3" s="399" t="str">
        <f t="shared" si="1"/>
        <v>Post ops</v>
      </c>
      <c r="FD3" s="399" t="str">
        <f t="shared" si="1"/>
        <v>Post ops</v>
      </c>
      <c r="FE3" s="399" t="str">
        <f t="shared" si="1"/>
        <v>Post ops</v>
      </c>
      <c r="FF3" s="399" t="str">
        <f t="shared" si="1"/>
        <v>Post ops</v>
      </c>
      <c r="FG3" s="399" t="str">
        <f t="shared" si="1"/>
        <v>Post ops</v>
      </c>
      <c r="FH3" s="399" t="str">
        <f t="shared" si="1"/>
        <v>Post ops</v>
      </c>
      <c r="FI3" s="399" t="str">
        <f t="shared" si="1"/>
        <v>Post ops</v>
      </c>
      <c r="FJ3" s="399" t="str">
        <f t="shared" si="1"/>
        <v>Post ops</v>
      </c>
      <c r="FK3" s="399" t="str">
        <f t="shared" si="1"/>
        <v>Post ops</v>
      </c>
      <c r="FL3" s="399" t="str">
        <f t="shared" si="1"/>
        <v>Post ops</v>
      </c>
      <c r="FM3" s="399" t="str">
        <f t="shared" si="1"/>
        <v>Post ops</v>
      </c>
      <c r="FN3" s="399" t="str">
        <f t="shared" si="1"/>
        <v>Post ops</v>
      </c>
      <c r="FO3" s="399" t="str">
        <f t="shared" si="1"/>
        <v>Post ops</v>
      </c>
      <c r="FP3" s="399" t="str">
        <f t="shared" si="1"/>
        <v>Post ops</v>
      </c>
      <c r="FQ3" s="399" t="str">
        <f t="shared" si="1"/>
        <v>Post ops</v>
      </c>
      <c r="FR3" s="399" t="str">
        <f t="shared" si="1"/>
        <v>Post ops</v>
      </c>
      <c r="FS3" s="399" t="str">
        <f t="shared" si="1"/>
        <v>Post ops</v>
      </c>
      <c r="FT3" s="399" t="str">
        <f t="shared" si="1"/>
        <v>Post ops</v>
      </c>
      <c r="FU3" s="399" t="str">
        <f t="shared" si="1"/>
        <v>Post ops</v>
      </c>
      <c r="FV3" s="399" t="str">
        <f t="shared" si="1"/>
        <v>Post ops</v>
      </c>
      <c r="FW3" s="399" t="str">
        <f t="shared" si="1"/>
        <v>Post ops</v>
      </c>
      <c r="FX3" s="399" t="str">
        <f t="shared" si="1"/>
        <v>Post ops</v>
      </c>
      <c r="FY3" s="399" t="str">
        <f t="shared" si="1"/>
        <v>Post ops</v>
      </c>
      <c r="FZ3" s="399" t="str">
        <f t="shared" si="1"/>
        <v>Post ops</v>
      </c>
      <c r="GA3" s="399" t="str">
        <f t="shared" si="1"/>
        <v>Post ops</v>
      </c>
      <c r="GB3" s="399" t="str">
        <f t="shared" si="1"/>
        <v>Post ops</v>
      </c>
      <c r="GC3" s="399" t="str">
        <f t="shared" si="1"/>
        <v>Post ops</v>
      </c>
      <c r="GD3" s="399" t="str">
        <f t="shared" si="1"/>
        <v>Post ops</v>
      </c>
      <c r="GE3" s="399" t="str">
        <f t="shared" si="1"/>
        <v>Post ops</v>
      </c>
      <c r="GF3" s="399" t="str">
        <f t="shared" si="1"/>
        <v>Post ops</v>
      </c>
      <c r="GG3" s="399" t="str">
        <f t="shared" si="1"/>
        <v>Post ops</v>
      </c>
      <c r="GH3" s="399" t="str">
        <f t="shared" si="1"/>
        <v>Post ops</v>
      </c>
      <c r="GI3" s="399" t="str">
        <f t="shared" si="1"/>
        <v>Post ops</v>
      </c>
      <c r="GJ3" s="399" t="str">
        <f t="shared" si="1"/>
        <v>Post ops</v>
      </c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41</v>
      </c>
      <c r="F4"/>
      <c r="G4"/>
      <c r="H4" s="333"/>
      <c r="I4" s="333"/>
      <c r="J4" s="400">
        <f t="shared" si="2" ref="J4:GJ4">J117</f>
        <v>2026</v>
      </c>
      <c r="K4" s="400">
        <f t="shared" si="2"/>
        <v>2026</v>
      </c>
      <c r="L4" s="400">
        <f t="shared" si="2"/>
        <v>2026</v>
      </c>
      <c r="M4" s="400">
        <f t="shared" si="2"/>
        <v>2026</v>
      </c>
      <c r="N4" s="400">
        <f t="shared" si="2"/>
        <v>2026</v>
      </c>
      <c r="O4" s="400">
        <f t="shared" si="2"/>
        <v>2026</v>
      </c>
      <c r="P4" s="400">
        <f t="shared" si="2"/>
        <v>2026</v>
      </c>
      <c r="Q4" s="400">
        <f t="shared" si="2"/>
        <v>2026</v>
      </c>
      <c r="R4" s="400">
        <f t="shared" si="2"/>
        <v>2026</v>
      </c>
      <c r="S4" s="400">
        <f t="shared" si="2"/>
        <v>2026</v>
      </c>
      <c r="T4" s="400">
        <f t="shared" si="2"/>
        <v>2026</v>
      </c>
      <c r="U4" s="400">
        <f t="shared" si="2"/>
        <v>2026</v>
      </c>
      <c r="V4" s="400">
        <f t="shared" si="2"/>
        <v>2027</v>
      </c>
      <c r="W4" s="400">
        <f t="shared" si="2"/>
        <v>2027</v>
      </c>
      <c r="X4" s="400">
        <f t="shared" si="2"/>
        <v>2027</v>
      </c>
      <c r="Y4" s="400">
        <f t="shared" si="2"/>
        <v>2027</v>
      </c>
      <c r="Z4" s="400">
        <f t="shared" si="2"/>
        <v>2027</v>
      </c>
      <c r="AA4" s="400">
        <f t="shared" si="2"/>
        <v>2027</v>
      </c>
      <c r="AB4" s="400">
        <f t="shared" si="2"/>
        <v>2027</v>
      </c>
      <c r="AC4" s="400">
        <f t="shared" si="2"/>
        <v>2027</v>
      </c>
      <c r="AD4" s="400">
        <f t="shared" si="2"/>
        <v>2027</v>
      </c>
      <c r="AE4" s="400">
        <f t="shared" si="2"/>
        <v>2027</v>
      </c>
      <c r="AF4" s="400">
        <f t="shared" si="2"/>
        <v>2027</v>
      </c>
      <c r="AG4" s="400">
        <f t="shared" si="2"/>
        <v>2027</v>
      </c>
      <c r="AH4" s="400">
        <f t="shared" si="2"/>
        <v>2028</v>
      </c>
      <c r="AI4" s="400">
        <f t="shared" si="2"/>
        <v>2028</v>
      </c>
      <c r="AJ4" s="400">
        <f t="shared" si="2"/>
        <v>2028</v>
      </c>
      <c r="AK4" s="400">
        <f t="shared" si="2"/>
        <v>2028</v>
      </c>
      <c r="AL4" s="400">
        <f t="shared" si="2"/>
        <v>2028</v>
      </c>
      <c r="AM4" s="400">
        <f t="shared" si="2"/>
        <v>2028</v>
      </c>
      <c r="AN4" s="400">
        <f t="shared" si="2"/>
        <v>2028</v>
      </c>
      <c r="AO4" s="400">
        <f t="shared" si="2"/>
        <v>2028</v>
      </c>
      <c r="AP4" s="400">
        <f t="shared" si="2"/>
        <v>2029</v>
      </c>
      <c r="AQ4" s="400">
        <f t="shared" si="2"/>
        <v>2029</v>
      </c>
      <c r="AR4" s="400">
        <f t="shared" si="2"/>
        <v>2029</v>
      </c>
      <c r="AS4" s="400">
        <f t="shared" si="2"/>
        <v>2029</v>
      </c>
      <c r="AT4" s="400">
        <f t="shared" si="2"/>
        <v>2030</v>
      </c>
      <c r="AU4" s="400">
        <f t="shared" si="2"/>
        <v>2030</v>
      </c>
      <c r="AV4" s="400">
        <f t="shared" si="2"/>
        <v>2030</v>
      </c>
      <c r="AW4" s="400">
        <f t="shared" si="2"/>
        <v>2030</v>
      </c>
      <c r="AX4" s="400">
        <f t="shared" si="2"/>
        <v>2031</v>
      </c>
      <c r="AY4" s="400">
        <f t="shared" si="2"/>
        <v>2031</v>
      </c>
      <c r="AZ4" s="400">
        <f t="shared" si="2"/>
        <v>2031</v>
      </c>
      <c r="BA4" s="400">
        <f t="shared" si="2"/>
        <v>2031</v>
      </c>
      <c r="BB4" s="400">
        <f t="shared" si="2"/>
        <v>2032</v>
      </c>
      <c r="BC4" s="400">
        <f t="shared" si="2"/>
        <v>2032</v>
      </c>
      <c r="BD4" s="400">
        <f t="shared" si="2"/>
        <v>2032</v>
      </c>
      <c r="BE4" s="400">
        <f t="shared" si="2"/>
        <v>2032</v>
      </c>
      <c r="BF4" s="400">
        <f t="shared" si="2"/>
        <v>2033</v>
      </c>
      <c r="BG4" s="400">
        <f t="shared" si="2"/>
        <v>2033</v>
      </c>
      <c r="BH4" s="400">
        <f t="shared" si="2"/>
        <v>2033</v>
      </c>
      <c r="BI4" s="400">
        <f t="shared" si="2"/>
        <v>2033</v>
      </c>
      <c r="BJ4" s="400">
        <f t="shared" si="2"/>
        <v>2034</v>
      </c>
      <c r="BK4" s="400">
        <f t="shared" si="2"/>
        <v>2034</v>
      </c>
      <c r="BL4" s="400">
        <f t="shared" si="2"/>
        <v>2034</v>
      </c>
      <c r="BM4" s="400">
        <f t="shared" si="2"/>
        <v>2034</v>
      </c>
      <c r="BN4" s="400">
        <f t="shared" si="2"/>
        <v>2035</v>
      </c>
      <c r="BO4" s="400">
        <f t="shared" si="2"/>
        <v>2035</v>
      </c>
      <c r="BP4" s="400">
        <f t="shared" si="2"/>
        <v>2035</v>
      </c>
      <c r="BQ4" s="400">
        <f t="shared" si="2"/>
        <v>2035</v>
      </c>
      <c r="BR4" s="400">
        <f t="shared" si="2"/>
        <v>2036</v>
      </c>
      <c r="BS4" s="400">
        <f t="shared" si="2"/>
        <v>2036</v>
      </c>
      <c r="BT4" s="400">
        <f t="shared" si="2"/>
        <v>2036</v>
      </c>
      <c r="BU4" s="400">
        <f t="shared" si="2"/>
        <v>2036</v>
      </c>
      <c r="BV4" s="400">
        <f t="shared" si="2"/>
        <v>2037</v>
      </c>
      <c r="BW4" s="400">
        <f t="shared" si="2"/>
        <v>2037</v>
      </c>
      <c r="BX4" s="400">
        <f t="shared" si="2"/>
        <v>2037</v>
      </c>
      <c r="BY4" s="400">
        <f t="shared" si="2"/>
        <v>2037</v>
      </c>
      <c r="BZ4" s="400">
        <f t="shared" si="2"/>
        <v>2038</v>
      </c>
      <c r="CA4" s="400">
        <f t="shared" si="2"/>
        <v>2038</v>
      </c>
      <c r="CB4" s="400">
        <f t="shared" si="2"/>
        <v>2038</v>
      </c>
      <c r="CC4" s="400">
        <f t="shared" si="2"/>
        <v>2038</v>
      </c>
      <c r="CD4" s="400">
        <f t="shared" si="2"/>
        <v>2039</v>
      </c>
      <c r="CE4" s="400">
        <f t="shared" si="2"/>
        <v>2039</v>
      </c>
      <c r="CF4" s="400">
        <f t="shared" si="2"/>
        <v>2039</v>
      </c>
      <c r="CG4" s="400">
        <f t="shared" si="2"/>
        <v>2039</v>
      </c>
      <c r="CH4" s="400">
        <f t="shared" si="2"/>
        <v>2040</v>
      </c>
      <c r="CI4" s="400">
        <f t="shared" si="2"/>
        <v>2040</v>
      </c>
      <c r="CJ4" s="400">
        <f t="shared" si="2"/>
        <v>2040</v>
      </c>
      <c r="CK4" s="400">
        <f t="shared" si="2"/>
        <v>2040</v>
      </c>
      <c r="CL4" s="400">
        <f t="shared" si="2"/>
        <v>2041</v>
      </c>
      <c r="CM4" s="400">
        <f t="shared" si="2"/>
        <v>2041</v>
      </c>
      <c r="CN4" s="400">
        <f t="shared" si="2"/>
        <v>2041</v>
      </c>
      <c r="CO4" s="400">
        <f t="shared" si="2"/>
        <v>2041</v>
      </c>
      <c r="CP4" s="400">
        <f t="shared" si="2"/>
        <v>2042</v>
      </c>
      <c r="CQ4" s="400">
        <f t="shared" si="2"/>
        <v>2042</v>
      </c>
      <c r="CR4" s="400">
        <f t="shared" si="2"/>
        <v>2042</v>
      </c>
      <c r="CS4" s="400">
        <f t="shared" si="2"/>
        <v>2042</v>
      </c>
      <c r="CT4" s="400">
        <f t="shared" si="2"/>
        <v>2043</v>
      </c>
      <c r="CU4" s="400">
        <f t="shared" si="2"/>
        <v>2043</v>
      </c>
      <c r="CV4" s="400">
        <f t="shared" si="2"/>
        <v>2043</v>
      </c>
      <c r="CW4" s="400">
        <f t="shared" si="2"/>
        <v>2043</v>
      </c>
      <c r="CX4" s="400">
        <f t="shared" si="2"/>
        <v>2044</v>
      </c>
      <c r="CY4" s="400">
        <f t="shared" si="2"/>
        <v>2044</v>
      </c>
      <c r="CZ4" s="400">
        <f t="shared" si="2"/>
        <v>2044</v>
      </c>
      <c r="DA4" s="400">
        <f t="shared" si="2"/>
        <v>2044</v>
      </c>
      <c r="DB4" s="400">
        <f t="shared" si="2"/>
        <v>2045</v>
      </c>
      <c r="DC4" s="400">
        <f t="shared" si="2"/>
        <v>2045</v>
      </c>
      <c r="DD4" s="400">
        <f t="shared" si="2"/>
        <v>2045</v>
      </c>
      <c r="DE4" s="400">
        <f t="shared" si="2"/>
        <v>2045</v>
      </c>
      <c r="DF4" s="400">
        <f t="shared" si="2"/>
        <v>2046</v>
      </c>
      <c r="DG4" s="400">
        <f t="shared" si="2"/>
        <v>2046</v>
      </c>
      <c r="DH4" s="400">
        <f t="shared" si="2"/>
        <v>2046</v>
      </c>
      <c r="DI4" s="400">
        <f t="shared" si="2"/>
        <v>2046</v>
      </c>
      <c r="DJ4" s="400">
        <f t="shared" si="2"/>
        <v>2047</v>
      </c>
      <c r="DK4" s="400">
        <f t="shared" si="2"/>
        <v>2047</v>
      </c>
      <c r="DL4" s="400">
        <f t="shared" si="2"/>
        <v>2047</v>
      </c>
      <c r="DM4" s="400">
        <f t="shared" si="2"/>
        <v>2047</v>
      </c>
      <c r="DN4" s="400">
        <f t="shared" si="2"/>
        <v>2048</v>
      </c>
      <c r="DO4" s="400">
        <f t="shared" si="2"/>
        <v>2048</v>
      </c>
      <c r="DP4" s="400">
        <f t="shared" si="2"/>
        <v>2048</v>
      </c>
      <c r="DQ4" s="400">
        <f t="shared" si="2"/>
        <v>2048</v>
      </c>
      <c r="DR4" s="400">
        <f t="shared" si="2"/>
        <v>2049</v>
      </c>
      <c r="DS4" s="400">
        <f t="shared" si="2"/>
        <v>2049</v>
      </c>
      <c r="DT4" s="400">
        <f t="shared" si="2"/>
        <v>2049</v>
      </c>
      <c r="DU4" s="400">
        <f t="shared" si="2"/>
        <v>2049</v>
      </c>
      <c r="DV4" s="400">
        <f t="shared" si="2"/>
        <v>2050</v>
      </c>
      <c r="DW4" s="400">
        <f t="shared" si="2"/>
        <v>2050</v>
      </c>
      <c r="DX4" s="400">
        <f t="shared" si="2"/>
        <v>2050</v>
      </c>
      <c r="DY4" s="400">
        <f t="shared" si="2"/>
        <v>2050</v>
      </c>
      <c r="DZ4" s="400">
        <f t="shared" si="2"/>
        <v>2051</v>
      </c>
      <c r="EA4" s="400">
        <f t="shared" si="2"/>
        <v>2051</v>
      </c>
      <c r="EB4" s="400">
        <f t="shared" si="2"/>
        <v>2051</v>
      </c>
      <c r="EC4" s="400">
        <f t="shared" si="2"/>
        <v>2051</v>
      </c>
      <c r="ED4" s="400">
        <f t="shared" si="2"/>
        <v>2052</v>
      </c>
      <c r="EE4" s="400">
        <f t="shared" si="2"/>
        <v>2052</v>
      </c>
      <c r="EF4" s="400">
        <f t="shared" si="2"/>
        <v>2052</v>
      </c>
      <c r="EG4" s="400">
        <f t="shared" si="2"/>
        <v>2052</v>
      </c>
      <c r="EH4" s="400">
        <f t="shared" si="2"/>
        <v>2053</v>
      </c>
      <c r="EI4" s="400">
        <f t="shared" si="2"/>
        <v>2053</v>
      </c>
      <c r="EJ4" s="400">
        <f t="shared" si="2"/>
        <v>2053</v>
      </c>
      <c r="EK4" s="400">
        <f t="shared" si="2"/>
        <v>2053</v>
      </c>
      <c r="EL4" s="400">
        <f t="shared" si="2"/>
        <v>2054</v>
      </c>
      <c r="EM4" s="400">
        <f t="shared" si="2"/>
        <v>2054</v>
      </c>
      <c r="EN4" s="400">
        <f t="shared" si="2"/>
        <v>2054</v>
      </c>
      <c r="EO4" s="400">
        <f t="shared" si="2"/>
        <v>2054</v>
      </c>
      <c r="EP4" s="400">
        <f t="shared" si="2"/>
        <v>2055</v>
      </c>
      <c r="EQ4" s="400">
        <f t="shared" si="2"/>
        <v>2055</v>
      </c>
      <c r="ER4" s="400">
        <f t="shared" si="2"/>
        <v>2055</v>
      </c>
      <c r="ES4" s="400">
        <f t="shared" si="2"/>
        <v>2055</v>
      </c>
      <c r="ET4" s="400">
        <f t="shared" si="2"/>
        <v>2056</v>
      </c>
      <c r="EU4" s="400">
        <f t="shared" si="2"/>
        <v>2056</v>
      </c>
      <c r="EV4" s="400">
        <f t="shared" si="2"/>
        <v>2056</v>
      </c>
      <c r="EW4" s="400">
        <f t="shared" si="2"/>
        <v>2056</v>
      </c>
      <c r="EX4" s="400">
        <f t="shared" si="2"/>
        <v>2057</v>
      </c>
      <c r="EY4" s="400">
        <f t="shared" si="2"/>
        <v>2057</v>
      </c>
      <c r="EZ4" s="400">
        <f t="shared" si="2"/>
        <v>2057</v>
      </c>
      <c r="FA4" s="400">
        <f t="shared" si="2"/>
        <v>2057</v>
      </c>
      <c r="FB4" s="400">
        <f t="shared" si="2"/>
        <v>2058</v>
      </c>
      <c r="FC4" s="400">
        <f t="shared" si="2"/>
        <v>2058</v>
      </c>
      <c r="FD4" s="400">
        <f t="shared" si="2"/>
        <v>2058</v>
      </c>
      <c r="FE4" s="400">
        <f t="shared" si="2"/>
        <v>2058</v>
      </c>
      <c r="FF4" s="400">
        <f t="shared" si="2"/>
        <v>2059</v>
      </c>
      <c r="FG4" s="400">
        <f t="shared" si="2"/>
        <v>2059</v>
      </c>
      <c r="FH4" s="400">
        <f t="shared" si="2"/>
        <v>2059</v>
      </c>
      <c r="FI4" s="400">
        <f t="shared" si="2"/>
        <v>2059</v>
      </c>
      <c r="FJ4" s="400">
        <f t="shared" si="2"/>
        <v>2060</v>
      </c>
      <c r="FK4" s="400">
        <f t="shared" si="2"/>
        <v>2060</v>
      </c>
      <c r="FL4" s="400">
        <f t="shared" si="2"/>
        <v>2060</v>
      </c>
      <c r="FM4" s="400">
        <f t="shared" si="2"/>
        <v>2060</v>
      </c>
      <c r="FN4" s="400">
        <f t="shared" si="2"/>
        <v>2061</v>
      </c>
      <c r="FO4" s="400">
        <f t="shared" si="2"/>
        <v>2061</v>
      </c>
      <c r="FP4" s="400">
        <f t="shared" si="2"/>
        <v>2061</v>
      </c>
      <c r="FQ4" s="400">
        <f t="shared" si="2"/>
        <v>2061</v>
      </c>
      <c r="FR4" s="400">
        <f t="shared" si="2"/>
        <v>2062</v>
      </c>
      <c r="FS4" s="400">
        <f t="shared" si="2"/>
        <v>2062</v>
      </c>
      <c r="FT4" s="400">
        <f t="shared" si="2"/>
        <v>2062</v>
      </c>
      <c r="FU4" s="400">
        <f t="shared" si="2"/>
        <v>2062</v>
      </c>
      <c r="FV4" s="400">
        <f t="shared" si="2"/>
        <v>2063</v>
      </c>
      <c r="FW4" s="400">
        <f t="shared" si="2"/>
        <v>2063</v>
      </c>
      <c r="FX4" s="400">
        <f t="shared" si="2"/>
        <v>2063</v>
      </c>
      <c r="FY4" s="400">
        <f t="shared" si="2"/>
        <v>2063</v>
      </c>
      <c r="FZ4" s="400">
        <f t="shared" si="2"/>
        <v>2064</v>
      </c>
      <c r="GA4" s="400">
        <f t="shared" si="2"/>
        <v>2064</v>
      </c>
      <c r="GB4" s="400">
        <f t="shared" si="2"/>
        <v>2064</v>
      </c>
      <c r="GC4" s="400">
        <f t="shared" si="2"/>
        <v>2064</v>
      </c>
      <c r="GD4" s="400">
        <f t="shared" si="2"/>
        <v>2065</v>
      </c>
      <c r="GE4" s="400">
        <f t="shared" si="2"/>
        <v>2065</v>
      </c>
      <c r="GF4" s="400">
        <f t="shared" si="2"/>
        <v>2065</v>
      </c>
      <c r="GG4" s="400">
        <f t="shared" si="2"/>
        <v>2065</v>
      </c>
      <c r="GH4" s="400">
        <f t="shared" si="2"/>
        <v>2066</v>
      </c>
      <c r="GI4" s="400">
        <f t="shared" si="2"/>
        <v>2066</v>
      </c>
      <c r="GJ4" s="400">
        <f t="shared" si="2"/>
        <v>2066</v>
      </c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42</v>
      </c>
      <c r="F5" s="401" t="s">
        <v>9</v>
      </c>
      <c r="G5" s="402" t="s">
        <v>10</v>
      </c>
      <c r="H5" s="401" t="s">
        <v>43</v>
      </c>
      <c r="I5" s="333"/>
      <c r="J5" s="333">
        <f t="shared" si="3" ref="J5:GJ5">J10</f>
        <v>1</v>
      </c>
      <c r="K5" s="333">
        <f t="shared" si="3"/>
        <v>2</v>
      </c>
      <c r="L5" s="333">
        <f t="shared" si="3"/>
        <v>3</v>
      </c>
      <c r="M5" s="333">
        <f t="shared" si="3"/>
        <v>4</v>
      </c>
      <c r="N5" s="333">
        <f t="shared" si="3"/>
        <v>5</v>
      </c>
      <c r="O5" s="333">
        <f t="shared" si="3"/>
        <v>6</v>
      </c>
      <c r="P5" s="333">
        <f t="shared" si="3"/>
        <v>7</v>
      </c>
      <c r="Q5" s="333">
        <f t="shared" si="3"/>
        <v>8</v>
      </c>
      <c r="R5" s="333">
        <f t="shared" si="3"/>
        <v>9</v>
      </c>
      <c r="S5" s="333">
        <f t="shared" si="3"/>
        <v>10</v>
      </c>
      <c r="T5" s="333">
        <f t="shared" si="3"/>
        <v>11</v>
      </c>
      <c r="U5" s="333">
        <f t="shared" si="3"/>
        <v>12</v>
      </c>
      <c r="V5" s="333">
        <f t="shared" si="3"/>
        <v>13</v>
      </c>
      <c r="W5" s="333">
        <f t="shared" si="3"/>
        <v>14</v>
      </c>
      <c r="X5" s="333">
        <f t="shared" si="3"/>
        <v>15</v>
      </c>
      <c r="Y5" s="333">
        <f t="shared" si="3"/>
        <v>16</v>
      </c>
      <c r="Z5" s="333">
        <f t="shared" si="3"/>
        <v>17</v>
      </c>
      <c r="AA5" s="333">
        <f t="shared" si="3"/>
        <v>18</v>
      </c>
      <c r="AB5" s="333">
        <f t="shared" si="3"/>
        <v>19</v>
      </c>
      <c r="AC5" s="333">
        <f t="shared" si="3"/>
        <v>20</v>
      </c>
      <c r="AD5" s="333">
        <f t="shared" si="3"/>
        <v>21</v>
      </c>
      <c r="AE5" s="333">
        <f t="shared" si="3"/>
        <v>22</v>
      </c>
      <c r="AF5" s="333">
        <f t="shared" si="3"/>
        <v>23</v>
      </c>
      <c r="AG5" s="333">
        <f t="shared" si="3"/>
        <v>24</v>
      </c>
      <c r="AH5" s="333">
        <f t="shared" si="3"/>
        <v>25</v>
      </c>
      <c r="AI5" s="333">
        <f t="shared" si="3"/>
        <v>26</v>
      </c>
      <c r="AJ5" s="333">
        <f t="shared" si="3"/>
        <v>27</v>
      </c>
      <c r="AK5" s="333">
        <f t="shared" si="3"/>
        <v>28</v>
      </c>
      <c r="AL5" s="333">
        <f t="shared" si="3"/>
        <v>29</v>
      </c>
      <c r="AM5" s="333">
        <f t="shared" si="3"/>
        <v>30</v>
      </c>
      <c r="AN5" s="333">
        <f t="shared" si="3"/>
        <v>31</v>
      </c>
      <c r="AO5" s="333">
        <f t="shared" si="3"/>
        <v>32</v>
      </c>
      <c r="AP5" s="333">
        <f t="shared" si="3"/>
        <v>33</v>
      </c>
      <c r="AQ5" s="333">
        <f t="shared" si="3"/>
        <v>34</v>
      </c>
      <c r="AR5" s="333">
        <f t="shared" si="3"/>
        <v>35</v>
      </c>
      <c r="AS5" s="333">
        <f t="shared" si="3"/>
        <v>36</v>
      </c>
      <c r="AT5" s="333">
        <f t="shared" si="3"/>
        <v>37</v>
      </c>
      <c r="AU5" s="333">
        <f t="shared" si="3"/>
        <v>38</v>
      </c>
      <c r="AV5" s="333">
        <f t="shared" si="3"/>
        <v>39</v>
      </c>
      <c r="AW5" s="333">
        <f t="shared" si="3"/>
        <v>40</v>
      </c>
      <c r="AX5" s="333">
        <f t="shared" si="3"/>
        <v>41</v>
      </c>
      <c r="AY5" s="333">
        <f t="shared" si="3"/>
        <v>42</v>
      </c>
      <c r="AZ5" s="333">
        <f t="shared" si="3"/>
        <v>43</v>
      </c>
      <c r="BA5" s="333">
        <f t="shared" si="3"/>
        <v>44</v>
      </c>
      <c r="BB5" s="333">
        <f t="shared" si="3"/>
        <v>45</v>
      </c>
      <c r="BC5" s="333">
        <f t="shared" si="3"/>
        <v>46</v>
      </c>
      <c r="BD5" s="333">
        <f t="shared" si="3"/>
        <v>47</v>
      </c>
      <c r="BE5" s="333">
        <f t="shared" si="3"/>
        <v>48</v>
      </c>
      <c r="BF5" s="333">
        <f t="shared" si="3"/>
        <v>49</v>
      </c>
      <c r="BG5" s="333">
        <f t="shared" si="3"/>
        <v>50</v>
      </c>
      <c r="BH5" s="333">
        <f t="shared" si="3"/>
        <v>51</v>
      </c>
      <c r="BI5" s="333">
        <f t="shared" si="3"/>
        <v>52</v>
      </c>
      <c r="BJ5" s="333">
        <f t="shared" si="3"/>
        <v>53</v>
      </c>
      <c r="BK5" s="333">
        <f t="shared" si="3"/>
        <v>54</v>
      </c>
      <c r="BL5" s="333">
        <f t="shared" si="3"/>
        <v>55</v>
      </c>
      <c r="BM5" s="333">
        <f t="shared" si="3"/>
        <v>56</v>
      </c>
      <c r="BN5" s="333">
        <f t="shared" si="3"/>
        <v>57</v>
      </c>
      <c r="BO5" s="333">
        <f t="shared" si="3"/>
        <v>58</v>
      </c>
      <c r="BP5" s="333">
        <f t="shared" si="3"/>
        <v>59</v>
      </c>
      <c r="BQ5" s="333">
        <f t="shared" si="3"/>
        <v>60</v>
      </c>
      <c r="BR5" s="333">
        <f t="shared" si="3"/>
        <v>61</v>
      </c>
      <c r="BS5" s="333">
        <f t="shared" si="3"/>
        <v>62</v>
      </c>
      <c r="BT5" s="333">
        <f t="shared" si="3"/>
        <v>63</v>
      </c>
      <c r="BU5" s="333">
        <f t="shared" si="3"/>
        <v>64</v>
      </c>
      <c r="BV5" s="333">
        <f t="shared" si="3"/>
        <v>65</v>
      </c>
      <c r="BW5" s="333">
        <f t="shared" si="3"/>
        <v>66</v>
      </c>
      <c r="BX5" s="333">
        <f t="shared" si="3"/>
        <v>67</v>
      </c>
      <c r="BY5" s="333">
        <f t="shared" si="3"/>
        <v>68</v>
      </c>
      <c r="BZ5" s="333">
        <f t="shared" si="3"/>
        <v>69</v>
      </c>
      <c r="CA5" s="333">
        <f t="shared" si="3"/>
        <v>70</v>
      </c>
      <c r="CB5" s="333">
        <f t="shared" si="3"/>
        <v>71</v>
      </c>
      <c r="CC5" s="333">
        <f t="shared" si="3"/>
        <v>72</v>
      </c>
      <c r="CD5" s="333">
        <f t="shared" si="3"/>
        <v>73</v>
      </c>
      <c r="CE5" s="333">
        <f t="shared" si="3"/>
        <v>74</v>
      </c>
      <c r="CF5" s="333">
        <f t="shared" si="3"/>
        <v>75</v>
      </c>
      <c r="CG5" s="333">
        <f t="shared" si="3"/>
        <v>76</v>
      </c>
      <c r="CH5" s="333">
        <f t="shared" si="3"/>
        <v>77</v>
      </c>
      <c r="CI5" s="333">
        <f t="shared" si="3"/>
        <v>78</v>
      </c>
      <c r="CJ5" s="333">
        <f t="shared" si="3"/>
        <v>79</v>
      </c>
      <c r="CK5" s="333">
        <f t="shared" si="3"/>
        <v>80</v>
      </c>
      <c r="CL5" s="333">
        <f t="shared" si="3"/>
        <v>81</v>
      </c>
      <c r="CM5" s="333">
        <f t="shared" si="3"/>
        <v>82</v>
      </c>
      <c r="CN5" s="333">
        <f t="shared" si="3"/>
        <v>83</v>
      </c>
      <c r="CO5" s="333">
        <f t="shared" si="3"/>
        <v>84</v>
      </c>
      <c r="CP5" s="333">
        <f t="shared" si="3"/>
        <v>85</v>
      </c>
      <c r="CQ5" s="333">
        <f t="shared" si="3"/>
        <v>86</v>
      </c>
      <c r="CR5" s="333">
        <f t="shared" si="3"/>
        <v>87</v>
      </c>
      <c r="CS5" s="333">
        <f t="shared" si="3"/>
        <v>88</v>
      </c>
      <c r="CT5" s="333">
        <f t="shared" si="3"/>
        <v>89</v>
      </c>
      <c r="CU5" s="333">
        <f t="shared" si="3"/>
        <v>90</v>
      </c>
      <c r="CV5" s="333">
        <f t="shared" si="3"/>
        <v>91</v>
      </c>
      <c r="CW5" s="333">
        <f t="shared" si="3"/>
        <v>92</v>
      </c>
      <c r="CX5" s="333">
        <f t="shared" si="3"/>
        <v>93</v>
      </c>
      <c r="CY5" s="333">
        <f t="shared" si="3"/>
        <v>94</v>
      </c>
      <c r="CZ5" s="333">
        <f t="shared" si="3"/>
        <v>95</v>
      </c>
      <c r="DA5" s="333">
        <f t="shared" si="3"/>
        <v>96</v>
      </c>
      <c r="DB5" s="333">
        <f t="shared" si="3"/>
        <v>97</v>
      </c>
      <c r="DC5" s="333">
        <f t="shared" si="3"/>
        <v>98</v>
      </c>
      <c r="DD5" s="333">
        <f t="shared" si="3"/>
        <v>99</v>
      </c>
      <c r="DE5" s="333">
        <f t="shared" si="3"/>
        <v>100</v>
      </c>
      <c r="DF5" s="333">
        <f t="shared" si="3"/>
        <v>101</v>
      </c>
      <c r="DG5" s="333">
        <f t="shared" si="3"/>
        <v>102</v>
      </c>
      <c r="DH5" s="333">
        <f t="shared" si="3"/>
        <v>103</v>
      </c>
      <c r="DI5" s="333">
        <f t="shared" si="3"/>
        <v>104</v>
      </c>
      <c r="DJ5" s="333">
        <f t="shared" si="3"/>
        <v>105</v>
      </c>
      <c r="DK5" s="333">
        <f t="shared" si="3"/>
        <v>106</v>
      </c>
      <c r="DL5" s="333">
        <f t="shared" si="3"/>
        <v>107</v>
      </c>
      <c r="DM5" s="333">
        <f t="shared" si="3"/>
        <v>108</v>
      </c>
      <c r="DN5" s="333">
        <f t="shared" si="3"/>
        <v>109</v>
      </c>
      <c r="DO5" s="333">
        <f t="shared" si="3"/>
        <v>110</v>
      </c>
      <c r="DP5" s="333">
        <f t="shared" si="3"/>
        <v>111</v>
      </c>
      <c r="DQ5" s="333">
        <f t="shared" si="3"/>
        <v>112</v>
      </c>
      <c r="DR5" s="333">
        <f t="shared" si="3"/>
        <v>113</v>
      </c>
      <c r="DS5" s="333">
        <f t="shared" si="3"/>
        <v>114</v>
      </c>
      <c r="DT5" s="333">
        <f t="shared" si="3"/>
        <v>115</v>
      </c>
      <c r="DU5" s="333">
        <f t="shared" si="3"/>
        <v>116</v>
      </c>
      <c r="DV5" s="333">
        <f t="shared" si="3"/>
        <v>117</v>
      </c>
      <c r="DW5" s="333">
        <f t="shared" si="3"/>
        <v>118</v>
      </c>
      <c r="DX5" s="333">
        <f t="shared" si="3"/>
        <v>119</v>
      </c>
      <c r="DY5" s="333">
        <f t="shared" si="3"/>
        <v>120</v>
      </c>
      <c r="DZ5" s="333">
        <f t="shared" si="3"/>
        <v>121</v>
      </c>
      <c r="EA5" s="333">
        <f t="shared" si="3"/>
        <v>122</v>
      </c>
      <c r="EB5" s="333">
        <f t="shared" si="3"/>
        <v>123</v>
      </c>
      <c r="EC5" s="333">
        <f t="shared" si="3"/>
        <v>124</v>
      </c>
      <c r="ED5" s="333">
        <f t="shared" si="3"/>
        <v>125</v>
      </c>
      <c r="EE5" s="333">
        <f t="shared" si="3"/>
        <v>126</v>
      </c>
      <c r="EF5" s="333">
        <f t="shared" si="3"/>
        <v>127</v>
      </c>
      <c r="EG5" s="333">
        <f t="shared" si="3"/>
        <v>128</v>
      </c>
      <c r="EH5" s="333">
        <f t="shared" si="3"/>
        <v>129</v>
      </c>
      <c r="EI5" s="333">
        <f t="shared" si="3"/>
        <v>130</v>
      </c>
      <c r="EJ5" s="333">
        <f t="shared" si="3"/>
        <v>131</v>
      </c>
      <c r="EK5" s="333">
        <f t="shared" si="3"/>
        <v>132</v>
      </c>
      <c r="EL5" s="333">
        <f t="shared" si="3"/>
        <v>133</v>
      </c>
      <c r="EM5" s="333">
        <f t="shared" si="3"/>
        <v>134</v>
      </c>
      <c r="EN5" s="333">
        <f t="shared" si="3"/>
        <v>135</v>
      </c>
      <c r="EO5" s="333">
        <f t="shared" si="3"/>
        <v>136</v>
      </c>
      <c r="EP5" s="333">
        <f t="shared" si="3"/>
        <v>137</v>
      </c>
      <c r="EQ5" s="333">
        <f t="shared" si="3"/>
        <v>138</v>
      </c>
      <c r="ER5" s="333">
        <f t="shared" si="3"/>
        <v>139</v>
      </c>
      <c r="ES5" s="333">
        <f t="shared" si="3"/>
        <v>140</v>
      </c>
      <c r="ET5" s="333">
        <f t="shared" si="3"/>
        <v>141</v>
      </c>
      <c r="EU5" s="333">
        <f t="shared" si="3"/>
        <v>142</v>
      </c>
      <c r="EV5" s="333">
        <f t="shared" si="3"/>
        <v>143</v>
      </c>
      <c r="EW5" s="333">
        <f t="shared" si="3"/>
        <v>144</v>
      </c>
      <c r="EX5" s="333">
        <f t="shared" si="3"/>
        <v>145</v>
      </c>
      <c r="EY5" s="333">
        <f t="shared" si="3"/>
        <v>146</v>
      </c>
      <c r="EZ5" s="333">
        <f t="shared" si="3"/>
        <v>147</v>
      </c>
      <c r="FA5" s="333">
        <f t="shared" si="3"/>
        <v>148</v>
      </c>
      <c r="FB5" s="333">
        <f t="shared" si="3"/>
        <v>149</v>
      </c>
      <c r="FC5" s="333">
        <f t="shared" si="3"/>
        <v>150</v>
      </c>
      <c r="FD5" s="333">
        <f t="shared" si="3"/>
        <v>151</v>
      </c>
      <c r="FE5" s="333">
        <f t="shared" si="3"/>
        <v>152</v>
      </c>
      <c r="FF5" s="333">
        <f t="shared" si="3"/>
        <v>153</v>
      </c>
      <c r="FG5" s="333">
        <f t="shared" si="3"/>
        <v>154</v>
      </c>
      <c r="FH5" s="333">
        <f t="shared" si="3"/>
        <v>155</v>
      </c>
      <c r="FI5" s="333">
        <f t="shared" si="3"/>
        <v>156</v>
      </c>
      <c r="FJ5" s="333">
        <f t="shared" si="3"/>
        <v>157</v>
      </c>
      <c r="FK5" s="333">
        <f t="shared" si="3"/>
        <v>158</v>
      </c>
      <c r="FL5" s="333">
        <f t="shared" si="3"/>
        <v>159</v>
      </c>
      <c r="FM5" s="333">
        <f t="shared" si="3"/>
        <v>160</v>
      </c>
      <c r="FN5" s="333">
        <f t="shared" si="3"/>
        <v>161</v>
      </c>
      <c r="FO5" s="333">
        <f t="shared" si="3"/>
        <v>162</v>
      </c>
      <c r="FP5" s="333">
        <f t="shared" si="3"/>
        <v>163</v>
      </c>
      <c r="FQ5" s="333">
        <f t="shared" si="3"/>
        <v>164</v>
      </c>
      <c r="FR5" s="333">
        <f t="shared" si="3"/>
        <v>165</v>
      </c>
      <c r="FS5" s="333">
        <f t="shared" si="3"/>
        <v>166</v>
      </c>
      <c r="FT5" s="333">
        <f t="shared" si="3"/>
        <v>167</v>
      </c>
      <c r="FU5" s="333">
        <f t="shared" si="3"/>
        <v>168</v>
      </c>
      <c r="FV5" s="333">
        <f t="shared" si="3"/>
        <v>169</v>
      </c>
      <c r="FW5" s="333">
        <f t="shared" si="3"/>
        <v>170</v>
      </c>
      <c r="FX5" s="333">
        <f t="shared" si="3"/>
        <v>171</v>
      </c>
      <c r="FY5" s="333">
        <f t="shared" si="3"/>
        <v>172</v>
      </c>
      <c r="FZ5" s="333">
        <f t="shared" si="3"/>
        <v>173</v>
      </c>
      <c r="GA5" s="333">
        <f t="shared" si="3"/>
        <v>174</v>
      </c>
      <c r="GB5" s="333">
        <f t="shared" si="3"/>
        <v>175</v>
      </c>
      <c r="GC5" s="333">
        <f t="shared" si="3"/>
        <v>176</v>
      </c>
      <c r="GD5" s="333">
        <f t="shared" si="3"/>
        <v>177</v>
      </c>
      <c r="GE5" s="333">
        <f t="shared" si="3"/>
        <v>178</v>
      </c>
      <c r="GF5" s="333">
        <f t="shared" si="3"/>
        <v>179</v>
      </c>
      <c r="GG5" s="333">
        <f t="shared" si="3"/>
        <v>180</v>
      </c>
      <c r="GH5" s="333">
        <f t="shared" si="3"/>
        <v>181</v>
      </c>
      <c r="GI5" s="333">
        <f t="shared" si="3"/>
        <v>182</v>
      </c>
      <c r="GJ5" s="333">
        <f t="shared" si="3"/>
        <v>183</v>
      </c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44</v>
      </c>
    </row>
    <row r="9" spans="2:2" ht="12.75">
      <c r="B9" s="534" t="s">
        <v>45</v>
      </c>
    </row>
    <row r="10" spans="5:192" ht="12.75">
      <c r="E10" s="535" t="s">
        <v>42</v>
      </c>
      <c r="G10" s="537" t="s">
        <v>46</v>
      </c>
      <c r="H10" s="537">
        <f>SUM(J10:GJ10)</f>
        <v>16836</v>
      </c>
      <c r="J10" s="537">
        <f t="shared" si="4" ref="J10:GJ10">I10+1</f>
        <v>1</v>
      </c>
      <c r="K10" s="537">
        <f t="shared" si="4"/>
        <v>2</v>
      </c>
      <c r="L10" s="537">
        <f t="shared" si="4"/>
        <v>3</v>
      </c>
      <c r="M10" s="537">
        <f t="shared" si="4"/>
        <v>4</v>
      </c>
      <c r="N10" s="537">
        <f t="shared" si="4"/>
        <v>5</v>
      </c>
      <c r="O10" s="537">
        <f t="shared" si="4"/>
        <v>6</v>
      </c>
      <c r="P10" s="537">
        <f t="shared" si="4"/>
        <v>7</v>
      </c>
      <c r="Q10" s="537">
        <f t="shared" si="4"/>
        <v>8</v>
      </c>
      <c r="R10" s="537">
        <f t="shared" si="4"/>
        <v>9</v>
      </c>
      <c r="S10" s="537">
        <f t="shared" si="4"/>
        <v>10</v>
      </c>
      <c r="T10" s="537">
        <f t="shared" si="4"/>
        <v>11</v>
      </c>
      <c r="U10" s="537">
        <f t="shared" si="4"/>
        <v>12</v>
      </c>
      <c r="V10" s="537">
        <f t="shared" si="4"/>
        <v>13</v>
      </c>
      <c r="W10" s="537">
        <f t="shared" si="4"/>
        <v>14</v>
      </c>
      <c r="X10" s="537">
        <f t="shared" si="4"/>
        <v>15</v>
      </c>
      <c r="Y10" s="537">
        <f t="shared" si="4"/>
        <v>16</v>
      </c>
      <c r="Z10" s="537">
        <f t="shared" si="4"/>
        <v>17</v>
      </c>
      <c r="AA10" s="537">
        <f t="shared" si="4"/>
        <v>18</v>
      </c>
      <c r="AB10" s="537">
        <f t="shared" si="4"/>
        <v>19</v>
      </c>
      <c r="AC10" s="537">
        <f t="shared" si="4"/>
        <v>20</v>
      </c>
      <c r="AD10" s="537">
        <f t="shared" si="4"/>
        <v>21</v>
      </c>
      <c r="AE10" s="537">
        <f t="shared" si="4"/>
        <v>22</v>
      </c>
      <c r="AF10" s="537">
        <f t="shared" si="4"/>
        <v>23</v>
      </c>
      <c r="AG10" s="537">
        <f t="shared" si="4"/>
        <v>24</v>
      </c>
      <c r="AH10" s="537">
        <f t="shared" si="4"/>
        <v>25</v>
      </c>
      <c r="AI10" s="537">
        <f t="shared" si="4"/>
        <v>26</v>
      </c>
      <c r="AJ10" s="537">
        <f t="shared" si="4"/>
        <v>27</v>
      </c>
      <c r="AK10" s="537">
        <f t="shared" si="4"/>
        <v>28</v>
      </c>
      <c r="AL10" s="537">
        <f t="shared" si="4"/>
        <v>29</v>
      </c>
      <c r="AM10" s="537">
        <f t="shared" si="4"/>
        <v>30</v>
      </c>
      <c r="AN10" s="537">
        <f t="shared" si="4"/>
        <v>31</v>
      </c>
      <c r="AO10" s="537">
        <f t="shared" si="4"/>
        <v>32</v>
      </c>
      <c r="AP10" s="537">
        <f t="shared" si="4"/>
        <v>33</v>
      </c>
      <c r="AQ10" s="537">
        <f t="shared" si="4"/>
        <v>34</v>
      </c>
      <c r="AR10" s="537">
        <f t="shared" si="4"/>
        <v>35</v>
      </c>
      <c r="AS10" s="537">
        <f t="shared" si="4"/>
        <v>36</v>
      </c>
      <c r="AT10" s="537">
        <f t="shared" si="4"/>
        <v>37</v>
      </c>
      <c r="AU10" s="537">
        <f t="shared" si="4"/>
        <v>38</v>
      </c>
      <c r="AV10" s="537">
        <f t="shared" si="4"/>
        <v>39</v>
      </c>
      <c r="AW10" s="537">
        <f t="shared" si="4"/>
        <v>40</v>
      </c>
      <c r="AX10" s="537">
        <f t="shared" si="4"/>
        <v>41</v>
      </c>
      <c r="AY10" s="537">
        <f t="shared" si="4"/>
        <v>42</v>
      </c>
      <c r="AZ10" s="537">
        <f t="shared" si="4"/>
        <v>43</v>
      </c>
      <c r="BA10" s="537">
        <f t="shared" si="4"/>
        <v>44</v>
      </c>
      <c r="BB10" s="537">
        <f t="shared" si="4"/>
        <v>45</v>
      </c>
      <c r="BC10" s="537">
        <f t="shared" si="4"/>
        <v>46</v>
      </c>
      <c r="BD10" s="537">
        <f t="shared" si="4"/>
        <v>47</v>
      </c>
      <c r="BE10" s="537">
        <f t="shared" si="4"/>
        <v>48</v>
      </c>
      <c r="BF10" s="537">
        <f t="shared" si="4"/>
        <v>49</v>
      </c>
      <c r="BG10" s="537">
        <f t="shared" si="4"/>
        <v>50</v>
      </c>
      <c r="BH10" s="537">
        <f t="shared" si="4"/>
        <v>51</v>
      </c>
      <c r="BI10" s="537">
        <f t="shared" si="4"/>
        <v>52</v>
      </c>
      <c r="BJ10" s="537">
        <f t="shared" si="4"/>
        <v>53</v>
      </c>
      <c r="BK10" s="537">
        <f t="shared" si="4"/>
        <v>54</v>
      </c>
      <c r="BL10" s="537">
        <f t="shared" si="4"/>
        <v>55</v>
      </c>
      <c r="BM10" s="537">
        <f t="shared" si="4"/>
        <v>56</v>
      </c>
      <c r="BN10" s="537">
        <f t="shared" si="4"/>
        <v>57</v>
      </c>
      <c r="BO10" s="537">
        <f t="shared" si="4"/>
        <v>58</v>
      </c>
      <c r="BP10" s="537">
        <f t="shared" si="4"/>
        <v>59</v>
      </c>
      <c r="BQ10" s="537">
        <f t="shared" si="4"/>
        <v>60</v>
      </c>
      <c r="BR10" s="537">
        <f t="shared" si="4"/>
        <v>61</v>
      </c>
      <c r="BS10" s="537">
        <f t="shared" si="4"/>
        <v>62</v>
      </c>
      <c r="BT10" s="537">
        <f t="shared" si="4"/>
        <v>63</v>
      </c>
      <c r="BU10" s="537">
        <f t="shared" si="4"/>
        <v>64</v>
      </c>
      <c r="BV10" s="537">
        <f t="shared" si="4"/>
        <v>65</v>
      </c>
      <c r="BW10" s="537">
        <f t="shared" si="4"/>
        <v>66</v>
      </c>
      <c r="BX10" s="537">
        <f t="shared" si="4"/>
        <v>67</v>
      </c>
      <c r="BY10" s="537">
        <f t="shared" si="4"/>
        <v>68</v>
      </c>
      <c r="BZ10" s="537">
        <f t="shared" si="4"/>
        <v>69</v>
      </c>
      <c r="CA10" s="537">
        <f t="shared" si="4"/>
        <v>70</v>
      </c>
      <c r="CB10" s="537">
        <f t="shared" si="4"/>
        <v>71</v>
      </c>
      <c r="CC10" s="537">
        <f t="shared" si="4"/>
        <v>72</v>
      </c>
      <c r="CD10" s="537">
        <f t="shared" si="4"/>
        <v>73</v>
      </c>
      <c r="CE10" s="537">
        <f t="shared" si="4"/>
        <v>74</v>
      </c>
      <c r="CF10" s="537">
        <f t="shared" si="4"/>
        <v>75</v>
      </c>
      <c r="CG10" s="537">
        <f t="shared" si="4"/>
        <v>76</v>
      </c>
      <c r="CH10" s="537">
        <f t="shared" si="4"/>
        <v>77</v>
      </c>
      <c r="CI10" s="537">
        <f t="shared" si="4"/>
        <v>78</v>
      </c>
      <c r="CJ10" s="537">
        <f t="shared" si="4"/>
        <v>79</v>
      </c>
      <c r="CK10" s="537">
        <f t="shared" si="4"/>
        <v>80</v>
      </c>
      <c r="CL10" s="537">
        <f t="shared" si="4"/>
        <v>81</v>
      </c>
      <c r="CM10" s="537">
        <f t="shared" si="4"/>
        <v>82</v>
      </c>
      <c r="CN10" s="537">
        <f t="shared" si="4"/>
        <v>83</v>
      </c>
      <c r="CO10" s="537">
        <f t="shared" si="4"/>
        <v>84</v>
      </c>
      <c r="CP10" s="537">
        <f t="shared" si="4"/>
        <v>85</v>
      </c>
      <c r="CQ10" s="537">
        <f t="shared" si="4"/>
        <v>86</v>
      </c>
      <c r="CR10" s="537">
        <f t="shared" si="4"/>
        <v>87</v>
      </c>
      <c r="CS10" s="537">
        <f t="shared" si="4"/>
        <v>88</v>
      </c>
      <c r="CT10" s="537">
        <f t="shared" si="4"/>
        <v>89</v>
      </c>
      <c r="CU10" s="537">
        <f t="shared" si="4"/>
        <v>90</v>
      </c>
      <c r="CV10" s="537">
        <f t="shared" si="4"/>
        <v>91</v>
      </c>
      <c r="CW10" s="537">
        <f t="shared" si="4"/>
        <v>92</v>
      </c>
      <c r="CX10" s="537">
        <f t="shared" si="4"/>
        <v>93</v>
      </c>
      <c r="CY10" s="537">
        <f t="shared" si="4"/>
        <v>94</v>
      </c>
      <c r="CZ10" s="537">
        <f t="shared" si="4"/>
        <v>95</v>
      </c>
      <c r="DA10" s="537">
        <f t="shared" si="4"/>
        <v>96</v>
      </c>
      <c r="DB10" s="537">
        <f t="shared" si="4"/>
        <v>97</v>
      </c>
      <c r="DC10" s="537">
        <f t="shared" si="4"/>
        <v>98</v>
      </c>
      <c r="DD10" s="537">
        <f t="shared" si="4"/>
        <v>99</v>
      </c>
      <c r="DE10" s="537">
        <f t="shared" si="4"/>
        <v>100</v>
      </c>
      <c r="DF10" s="537">
        <f t="shared" si="4"/>
        <v>101</v>
      </c>
      <c r="DG10" s="537">
        <f t="shared" si="4"/>
        <v>102</v>
      </c>
      <c r="DH10" s="537">
        <f t="shared" si="4"/>
        <v>103</v>
      </c>
      <c r="DI10" s="537">
        <f t="shared" si="4"/>
        <v>104</v>
      </c>
      <c r="DJ10" s="537">
        <f t="shared" si="4"/>
        <v>105</v>
      </c>
      <c r="DK10" s="537">
        <f t="shared" si="4"/>
        <v>106</v>
      </c>
      <c r="DL10" s="537">
        <f t="shared" si="4"/>
        <v>107</v>
      </c>
      <c r="DM10" s="537">
        <f t="shared" si="4"/>
        <v>108</v>
      </c>
      <c r="DN10" s="537">
        <f t="shared" si="4"/>
        <v>109</v>
      </c>
      <c r="DO10" s="537">
        <f t="shared" si="4"/>
        <v>110</v>
      </c>
      <c r="DP10" s="537">
        <f t="shared" si="4"/>
        <v>111</v>
      </c>
      <c r="DQ10" s="537">
        <f t="shared" si="4"/>
        <v>112</v>
      </c>
      <c r="DR10" s="537">
        <f t="shared" si="4"/>
        <v>113</v>
      </c>
      <c r="DS10" s="537">
        <f t="shared" si="4"/>
        <v>114</v>
      </c>
      <c r="DT10" s="537">
        <f t="shared" si="4"/>
        <v>115</v>
      </c>
      <c r="DU10" s="537">
        <f t="shared" si="4"/>
        <v>116</v>
      </c>
      <c r="DV10" s="537">
        <f t="shared" si="4"/>
        <v>117</v>
      </c>
      <c r="DW10" s="537">
        <f t="shared" si="4"/>
        <v>118</v>
      </c>
      <c r="DX10" s="537">
        <f t="shared" si="4"/>
        <v>119</v>
      </c>
      <c r="DY10" s="537">
        <f t="shared" si="4"/>
        <v>120</v>
      </c>
      <c r="DZ10" s="537">
        <f t="shared" si="4"/>
        <v>121</v>
      </c>
      <c r="EA10" s="537">
        <f t="shared" si="4"/>
        <v>122</v>
      </c>
      <c r="EB10" s="537">
        <f t="shared" si="4"/>
        <v>123</v>
      </c>
      <c r="EC10" s="537">
        <f t="shared" si="4"/>
        <v>124</v>
      </c>
      <c r="ED10" s="537">
        <f t="shared" si="4"/>
        <v>125</v>
      </c>
      <c r="EE10" s="537">
        <f t="shared" si="4"/>
        <v>126</v>
      </c>
      <c r="EF10" s="537">
        <f t="shared" si="4"/>
        <v>127</v>
      </c>
      <c r="EG10" s="537">
        <f t="shared" si="4"/>
        <v>128</v>
      </c>
      <c r="EH10" s="537">
        <f t="shared" si="4"/>
        <v>129</v>
      </c>
      <c r="EI10" s="537">
        <f t="shared" si="4"/>
        <v>130</v>
      </c>
      <c r="EJ10" s="537">
        <f t="shared" si="4"/>
        <v>131</v>
      </c>
      <c r="EK10" s="537">
        <f t="shared" si="4"/>
        <v>132</v>
      </c>
      <c r="EL10" s="537">
        <f t="shared" si="4"/>
        <v>133</v>
      </c>
      <c r="EM10" s="537">
        <f t="shared" si="4"/>
        <v>134</v>
      </c>
      <c r="EN10" s="537">
        <f t="shared" si="4"/>
        <v>135</v>
      </c>
      <c r="EO10" s="537">
        <f t="shared" si="4"/>
        <v>136</v>
      </c>
      <c r="EP10" s="537">
        <f t="shared" si="4"/>
        <v>137</v>
      </c>
      <c r="EQ10" s="537">
        <f t="shared" si="4"/>
        <v>138</v>
      </c>
      <c r="ER10" s="537">
        <f t="shared" si="4"/>
        <v>139</v>
      </c>
      <c r="ES10" s="537">
        <f t="shared" si="4"/>
        <v>140</v>
      </c>
      <c r="ET10" s="537">
        <f t="shared" si="4"/>
        <v>141</v>
      </c>
      <c r="EU10" s="537">
        <f t="shared" si="4"/>
        <v>142</v>
      </c>
      <c r="EV10" s="537">
        <f t="shared" si="4"/>
        <v>143</v>
      </c>
      <c r="EW10" s="537">
        <f t="shared" si="4"/>
        <v>144</v>
      </c>
      <c r="EX10" s="537">
        <f t="shared" si="4"/>
        <v>145</v>
      </c>
      <c r="EY10" s="537">
        <f t="shared" si="4"/>
        <v>146</v>
      </c>
      <c r="EZ10" s="537">
        <f t="shared" si="4"/>
        <v>147</v>
      </c>
      <c r="FA10" s="537">
        <f t="shared" si="4"/>
        <v>148</v>
      </c>
      <c r="FB10" s="537">
        <f t="shared" si="4"/>
        <v>149</v>
      </c>
      <c r="FC10" s="537">
        <f t="shared" si="4"/>
        <v>150</v>
      </c>
      <c r="FD10" s="537">
        <f t="shared" si="4"/>
        <v>151</v>
      </c>
      <c r="FE10" s="537">
        <f t="shared" si="4"/>
        <v>152</v>
      </c>
      <c r="FF10" s="537">
        <f t="shared" si="4"/>
        <v>153</v>
      </c>
      <c r="FG10" s="537">
        <f t="shared" si="4"/>
        <v>154</v>
      </c>
      <c r="FH10" s="537">
        <f t="shared" si="4"/>
        <v>155</v>
      </c>
      <c r="FI10" s="537">
        <f t="shared" si="4"/>
        <v>156</v>
      </c>
      <c r="FJ10" s="537">
        <f t="shared" si="4"/>
        <v>157</v>
      </c>
      <c r="FK10" s="537">
        <f t="shared" si="4"/>
        <v>158</v>
      </c>
      <c r="FL10" s="537">
        <f t="shared" si="4"/>
        <v>159</v>
      </c>
      <c r="FM10" s="537">
        <f t="shared" si="4"/>
        <v>160</v>
      </c>
      <c r="FN10" s="537">
        <f t="shared" si="4"/>
        <v>161</v>
      </c>
      <c r="FO10" s="537">
        <f t="shared" si="4"/>
        <v>162</v>
      </c>
      <c r="FP10" s="537">
        <f t="shared" si="4"/>
        <v>163</v>
      </c>
      <c r="FQ10" s="537">
        <f t="shared" si="4"/>
        <v>164</v>
      </c>
      <c r="FR10" s="537">
        <f t="shared" si="4"/>
        <v>165</v>
      </c>
      <c r="FS10" s="537">
        <f t="shared" si="4"/>
        <v>166</v>
      </c>
      <c r="FT10" s="537">
        <f t="shared" si="4"/>
        <v>167</v>
      </c>
      <c r="FU10" s="537">
        <f t="shared" si="4"/>
        <v>168</v>
      </c>
      <c r="FV10" s="537">
        <f t="shared" si="4"/>
        <v>169</v>
      </c>
      <c r="FW10" s="537">
        <f t="shared" si="4"/>
        <v>170</v>
      </c>
      <c r="FX10" s="537">
        <f t="shared" si="4"/>
        <v>171</v>
      </c>
      <c r="FY10" s="537">
        <f t="shared" si="4"/>
        <v>172</v>
      </c>
      <c r="FZ10" s="537">
        <f t="shared" si="4"/>
        <v>173</v>
      </c>
      <c r="GA10" s="537">
        <f t="shared" si="4"/>
        <v>174</v>
      </c>
      <c r="GB10" s="537">
        <f t="shared" si="4"/>
        <v>175</v>
      </c>
      <c r="GC10" s="537">
        <f t="shared" si="4"/>
        <v>176</v>
      </c>
      <c r="GD10" s="537">
        <f t="shared" si="4"/>
        <v>177</v>
      </c>
      <c r="GE10" s="537">
        <f t="shared" si="4"/>
        <v>178</v>
      </c>
      <c r="GF10" s="537">
        <f t="shared" si="4"/>
        <v>179</v>
      </c>
      <c r="GG10" s="537">
        <f t="shared" si="4"/>
        <v>180</v>
      </c>
      <c r="GH10" s="537">
        <f t="shared" si="4"/>
        <v>181</v>
      </c>
      <c r="GI10" s="537">
        <f t="shared" si="4"/>
        <v>182</v>
      </c>
      <c r="GJ10" s="537">
        <f t="shared" si="4"/>
        <v>183</v>
      </c>
    </row>
    <row r="12" spans="5:192" ht="12.75">
      <c r="E12" s="535" t="str">
        <f>E$10</f>
        <v>Model column counter</v>
      </c>
      <c r="G12" s="537" t="str">
        <f>G$10</f>
        <v>counter</v>
      </c>
      <c r="H12" s="537">
        <f>H$10</f>
        <v>16836</v>
      </c>
      <c r="J12" s="537">
        <f t="shared" si="5" ref="J12:GJ12">J$10</f>
        <v>1</v>
      </c>
      <c r="K12" s="537">
        <f t="shared" si="5"/>
        <v>2</v>
      </c>
      <c r="L12" s="537">
        <f t="shared" si="5"/>
        <v>3</v>
      </c>
      <c r="M12" s="537">
        <f t="shared" si="5"/>
        <v>4</v>
      </c>
      <c r="N12" s="537">
        <f t="shared" si="5"/>
        <v>5</v>
      </c>
      <c r="O12" s="537">
        <f t="shared" si="5"/>
        <v>6</v>
      </c>
      <c r="P12" s="537">
        <f t="shared" si="5"/>
        <v>7</v>
      </c>
      <c r="Q12" s="537">
        <f t="shared" si="5"/>
        <v>8</v>
      </c>
      <c r="R12" s="537">
        <f t="shared" si="5"/>
        <v>9</v>
      </c>
      <c r="S12" s="537">
        <f t="shared" si="5"/>
        <v>10</v>
      </c>
      <c r="T12" s="537">
        <f t="shared" si="5"/>
        <v>11</v>
      </c>
      <c r="U12" s="537">
        <f t="shared" si="5"/>
        <v>12</v>
      </c>
      <c r="V12" s="537">
        <f t="shared" si="5"/>
        <v>13</v>
      </c>
      <c r="W12" s="537">
        <f t="shared" si="5"/>
        <v>14</v>
      </c>
      <c r="X12" s="537">
        <f t="shared" si="5"/>
        <v>15</v>
      </c>
      <c r="Y12" s="537">
        <f t="shared" si="5"/>
        <v>16</v>
      </c>
      <c r="Z12" s="537">
        <f t="shared" si="5"/>
        <v>17</v>
      </c>
      <c r="AA12" s="537">
        <f t="shared" si="5"/>
        <v>18</v>
      </c>
      <c r="AB12" s="537">
        <f t="shared" si="5"/>
        <v>19</v>
      </c>
      <c r="AC12" s="537">
        <f t="shared" si="5"/>
        <v>20</v>
      </c>
      <c r="AD12" s="537">
        <f t="shared" si="5"/>
        <v>21</v>
      </c>
      <c r="AE12" s="537">
        <f t="shared" si="5"/>
        <v>22</v>
      </c>
      <c r="AF12" s="537">
        <f t="shared" si="5"/>
        <v>23</v>
      </c>
      <c r="AG12" s="537">
        <f t="shared" si="5"/>
        <v>24</v>
      </c>
      <c r="AH12" s="537">
        <f t="shared" si="5"/>
        <v>25</v>
      </c>
      <c r="AI12" s="537">
        <f t="shared" si="5"/>
        <v>26</v>
      </c>
      <c r="AJ12" s="537">
        <f t="shared" si="5"/>
        <v>27</v>
      </c>
      <c r="AK12" s="537">
        <f t="shared" si="5"/>
        <v>28</v>
      </c>
      <c r="AL12" s="537">
        <f t="shared" si="5"/>
        <v>29</v>
      </c>
      <c r="AM12" s="537">
        <f t="shared" si="5"/>
        <v>30</v>
      </c>
      <c r="AN12" s="537">
        <f t="shared" si="5"/>
        <v>31</v>
      </c>
      <c r="AO12" s="537">
        <f t="shared" si="5"/>
        <v>32</v>
      </c>
      <c r="AP12" s="537">
        <f t="shared" si="5"/>
        <v>33</v>
      </c>
      <c r="AQ12" s="537">
        <f t="shared" si="5"/>
        <v>34</v>
      </c>
      <c r="AR12" s="537">
        <f t="shared" si="5"/>
        <v>35</v>
      </c>
      <c r="AS12" s="537">
        <f t="shared" si="5"/>
        <v>36</v>
      </c>
      <c r="AT12" s="537">
        <f t="shared" si="5"/>
        <v>37</v>
      </c>
      <c r="AU12" s="537">
        <f t="shared" si="5"/>
        <v>38</v>
      </c>
      <c r="AV12" s="537">
        <f t="shared" si="5"/>
        <v>39</v>
      </c>
      <c r="AW12" s="537">
        <f t="shared" si="5"/>
        <v>40</v>
      </c>
      <c r="AX12" s="537">
        <f t="shared" si="5"/>
        <v>41</v>
      </c>
      <c r="AY12" s="537">
        <f t="shared" si="5"/>
        <v>42</v>
      </c>
      <c r="AZ12" s="537">
        <f t="shared" si="5"/>
        <v>43</v>
      </c>
      <c r="BA12" s="537">
        <f t="shared" si="5"/>
        <v>44</v>
      </c>
      <c r="BB12" s="537">
        <f t="shared" si="5"/>
        <v>45</v>
      </c>
      <c r="BC12" s="537">
        <f t="shared" si="5"/>
        <v>46</v>
      </c>
      <c r="BD12" s="537">
        <f t="shared" si="5"/>
        <v>47</v>
      </c>
      <c r="BE12" s="537">
        <f t="shared" si="5"/>
        <v>48</v>
      </c>
      <c r="BF12" s="537">
        <f t="shared" si="5"/>
        <v>49</v>
      </c>
      <c r="BG12" s="537">
        <f t="shared" si="5"/>
        <v>50</v>
      </c>
      <c r="BH12" s="537">
        <f t="shared" si="5"/>
        <v>51</v>
      </c>
      <c r="BI12" s="537">
        <f t="shared" si="5"/>
        <v>52</v>
      </c>
      <c r="BJ12" s="537">
        <f t="shared" si="5"/>
        <v>53</v>
      </c>
      <c r="BK12" s="537">
        <f t="shared" si="5"/>
        <v>54</v>
      </c>
      <c r="BL12" s="537">
        <f t="shared" si="5"/>
        <v>55</v>
      </c>
      <c r="BM12" s="537">
        <f t="shared" si="5"/>
        <v>56</v>
      </c>
      <c r="BN12" s="537">
        <f t="shared" si="5"/>
        <v>57</v>
      </c>
      <c r="BO12" s="537">
        <f t="shared" si="5"/>
        <v>58</v>
      </c>
      <c r="BP12" s="537">
        <f t="shared" si="5"/>
        <v>59</v>
      </c>
      <c r="BQ12" s="537">
        <f t="shared" si="5"/>
        <v>60</v>
      </c>
      <c r="BR12" s="537">
        <f t="shared" si="5"/>
        <v>61</v>
      </c>
      <c r="BS12" s="537">
        <f t="shared" si="5"/>
        <v>62</v>
      </c>
      <c r="BT12" s="537">
        <f t="shared" si="5"/>
        <v>63</v>
      </c>
      <c r="BU12" s="537">
        <f t="shared" si="5"/>
        <v>64</v>
      </c>
      <c r="BV12" s="537">
        <f t="shared" si="5"/>
        <v>65</v>
      </c>
      <c r="BW12" s="537">
        <f t="shared" si="5"/>
        <v>66</v>
      </c>
      <c r="BX12" s="537">
        <f t="shared" si="5"/>
        <v>67</v>
      </c>
      <c r="BY12" s="537">
        <f t="shared" si="5"/>
        <v>68</v>
      </c>
      <c r="BZ12" s="537">
        <f t="shared" si="5"/>
        <v>69</v>
      </c>
      <c r="CA12" s="537">
        <f t="shared" si="5"/>
        <v>70</v>
      </c>
      <c r="CB12" s="537">
        <f t="shared" si="5"/>
        <v>71</v>
      </c>
      <c r="CC12" s="537">
        <f t="shared" si="5"/>
        <v>72</v>
      </c>
      <c r="CD12" s="537">
        <f t="shared" si="5"/>
        <v>73</v>
      </c>
      <c r="CE12" s="537">
        <f t="shared" si="5"/>
        <v>74</v>
      </c>
      <c r="CF12" s="537">
        <f t="shared" si="5"/>
        <v>75</v>
      </c>
      <c r="CG12" s="537">
        <f t="shared" si="5"/>
        <v>76</v>
      </c>
      <c r="CH12" s="537">
        <f t="shared" si="5"/>
        <v>77</v>
      </c>
      <c r="CI12" s="537">
        <f t="shared" si="5"/>
        <v>78</v>
      </c>
      <c r="CJ12" s="537">
        <f t="shared" si="5"/>
        <v>79</v>
      </c>
      <c r="CK12" s="537">
        <f t="shared" si="5"/>
        <v>80</v>
      </c>
      <c r="CL12" s="537">
        <f t="shared" si="5"/>
        <v>81</v>
      </c>
      <c r="CM12" s="537">
        <f t="shared" si="5"/>
        <v>82</v>
      </c>
      <c r="CN12" s="537">
        <f t="shared" si="5"/>
        <v>83</v>
      </c>
      <c r="CO12" s="537">
        <f t="shared" si="5"/>
        <v>84</v>
      </c>
      <c r="CP12" s="537">
        <f t="shared" si="5"/>
        <v>85</v>
      </c>
      <c r="CQ12" s="537">
        <f t="shared" si="5"/>
        <v>86</v>
      </c>
      <c r="CR12" s="537">
        <f t="shared" si="5"/>
        <v>87</v>
      </c>
      <c r="CS12" s="537">
        <f t="shared" si="5"/>
        <v>88</v>
      </c>
      <c r="CT12" s="537">
        <f t="shared" si="5"/>
        <v>89</v>
      </c>
      <c r="CU12" s="537">
        <f t="shared" si="5"/>
        <v>90</v>
      </c>
      <c r="CV12" s="537">
        <f t="shared" si="5"/>
        <v>91</v>
      </c>
      <c r="CW12" s="537">
        <f t="shared" si="5"/>
        <v>92</v>
      </c>
      <c r="CX12" s="537">
        <f t="shared" si="5"/>
        <v>93</v>
      </c>
      <c r="CY12" s="537">
        <f t="shared" si="5"/>
        <v>94</v>
      </c>
      <c r="CZ12" s="537">
        <f t="shared" si="5"/>
        <v>95</v>
      </c>
      <c r="DA12" s="537">
        <f t="shared" si="5"/>
        <v>96</v>
      </c>
      <c r="DB12" s="537">
        <f t="shared" si="5"/>
        <v>97</v>
      </c>
      <c r="DC12" s="537">
        <f t="shared" si="5"/>
        <v>98</v>
      </c>
      <c r="DD12" s="537">
        <f t="shared" si="5"/>
        <v>99</v>
      </c>
      <c r="DE12" s="537">
        <f t="shared" si="5"/>
        <v>100</v>
      </c>
      <c r="DF12" s="537">
        <f t="shared" si="5"/>
        <v>101</v>
      </c>
      <c r="DG12" s="537">
        <f t="shared" si="5"/>
        <v>102</v>
      </c>
      <c r="DH12" s="537">
        <f t="shared" si="5"/>
        <v>103</v>
      </c>
      <c r="DI12" s="537">
        <f t="shared" si="5"/>
        <v>104</v>
      </c>
      <c r="DJ12" s="537">
        <f t="shared" si="5"/>
        <v>105</v>
      </c>
      <c r="DK12" s="537">
        <f t="shared" si="5"/>
        <v>106</v>
      </c>
      <c r="DL12" s="537">
        <f t="shared" si="5"/>
        <v>107</v>
      </c>
      <c r="DM12" s="537">
        <f t="shared" si="5"/>
        <v>108</v>
      </c>
      <c r="DN12" s="537">
        <f t="shared" si="5"/>
        <v>109</v>
      </c>
      <c r="DO12" s="537">
        <f t="shared" si="5"/>
        <v>110</v>
      </c>
      <c r="DP12" s="537">
        <f t="shared" si="5"/>
        <v>111</v>
      </c>
      <c r="DQ12" s="537">
        <f t="shared" si="5"/>
        <v>112</v>
      </c>
      <c r="DR12" s="537">
        <f t="shared" si="5"/>
        <v>113</v>
      </c>
      <c r="DS12" s="537">
        <f t="shared" si="5"/>
        <v>114</v>
      </c>
      <c r="DT12" s="537">
        <f t="shared" si="5"/>
        <v>115</v>
      </c>
      <c r="DU12" s="537">
        <f t="shared" si="5"/>
        <v>116</v>
      </c>
      <c r="DV12" s="537">
        <f t="shared" si="5"/>
        <v>117</v>
      </c>
      <c r="DW12" s="537">
        <f t="shared" si="5"/>
        <v>118</v>
      </c>
      <c r="DX12" s="537">
        <f t="shared" si="5"/>
        <v>119</v>
      </c>
      <c r="DY12" s="537">
        <f t="shared" si="5"/>
        <v>120</v>
      </c>
      <c r="DZ12" s="537">
        <f t="shared" si="5"/>
        <v>121</v>
      </c>
      <c r="EA12" s="537">
        <f t="shared" si="5"/>
        <v>122</v>
      </c>
      <c r="EB12" s="537">
        <f t="shared" si="5"/>
        <v>123</v>
      </c>
      <c r="EC12" s="537">
        <f t="shared" si="5"/>
        <v>124</v>
      </c>
      <c r="ED12" s="537">
        <f t="shared" si="5"/>
        <v>125</v>
      </c>
      <c r="EE12" s="537">
        <f t="shared" si="5"/>
        <v>126</v>
      </c>
      <c r="EF12" s="537">
        <f t="shared" si="5"/>
        <v>127</v>
      </c>
      <c r="EG12" s="537">
        <f t="shared" si="5"/>
        <v>128</v>
      </c>
      <c r="EH12" s="537">
        <f t="shared" si="5"/>
        <v>129</v>
      </c>
      <c r="EI12" s="537">
        <f t="shared" si="5"/>
        <v>130</v>
      </c>
      <c r="EJ12" s="537">
        <f t="shared" si="5"/>
        <v>131</v>
      </c>
      <c r="EK12" s="537">
        <f t="shared" si="5"/>
        <v>132</v>
      </c>
      <c r="EL12" s="537">
        <f t="shared" si="5"/>
        <v>133</v>
      </c>
      <c r="EM12" s="537">
        <f t="shared" si="5"/>
        <v>134</v>
      </c>
      <c r="EN12" s="537">
        <f t="shared" si="5"/>
        <v>135</v>
      </c>
      <c r="EO12" s="537">
        <f t="shared" si="5"/>
        <v>136</v>
      </c>
      <c r="EP12" s="537">
        <f t="shared" si="5"/>
        <v>137</v>
      </c>
      <c r="EQ12" s="537">
        <f t="shared" si="5"/>
        <v>138</v>
      </c>
      <c r="ER12" s="537">
        <f t="shared" si="5"/>
        <v>139</v>
      </c>
      <c r="ES12" s="537">
        <f t="shared" si="5"/>
        <v>140</v>
      </c>
      <c r="ET12" s="537">
        <f t="shared" si="5"/>
        <v>141</v>
      </c>
      <c r="EU12" s="537">
        <f t="shared" si="5"/>
        <v>142</v>
      </c>
      <c r="EV12" s="537">
        <f t="shared" si="5"/>
        <v>143</v>
      </c>
      <c r="EW12" s="537">
        <f t="shared" si="5"/>
        <v>144</v>
      </c>
      <c r="EX12" s="537">
        <f t="shared" si="5"/>
        <v>145</v>
      </c>
      <c r="EY12" s="537">
        <f t="shared" si="5"/>
        <v>146</v>
      </c>
      <c r="EZ12" s="537">
        <f t="shared" si="5"/>
        <v>147</v>
      </c>
      <c r="FA12" s="537">
        <f t="shared" si="5"/>
        <v>148</v>
      </c>
      <c r="FB12" s="537">
        <f t="shared" si="5"/>
        <v>149</v>
      </c>
      <c r="FC12" s="537">
        <f t="shared" si="5"/>
        <v>150</v>
      </c>
      <c r="FD12" s="537">
        <f t="shared" si="5"/>
        <v>151</v>
      </c>
      <c r="FE12" s="537">
        <f t="shared" si="5"/>
        <v>152</v>
      </c>
      <c r="FF12" s="537">
        <f t="shared" si="5"/>
        <v>153</v>
      </c>
      <c r="FG12" s="537">
        <f t="shared" si="5"/>
        <v>154</v>
      </c>
      <c r="FH12" s="537">
        <f t="shared" si="5"/>
        <v>155</v>
      </c>
      <c r="FI12" s="537">
        <f t="shared" si="5"/>
        <v>156</v>
      </c>
      <c r="FJ12" s="537">
        <f t="shared" si="5"/>
        <v>157</v>
      </c>
      <c r="FK12" s="537">
        <f t="shared" si="5"/>
        <v>158</v>
      </c>
      <c r="FL12" s="537">
        <f t="shared" si="5"/>
        <v>159</v>
      </c>
      <c r="FM12" s="537">
        <f t="shared" si="5"/>
        <v>160</v>
      </c>
      <c r="FN12" s="537">
        <f t="shared" si="5"/>
        <v>161</v>
      </c>
      <c r="FO12" s="537">
        <f t="shared" si="5"/>
        <v>162</v>
      </c>
      <c r="FP12" s="537">
        <f t="shared" si="5"/>
        <v>163</v>
      </c>
      <c r="FQ12" s="537">
        <f t="shared" si="5"/>
        <v>164</v>
      </c>
      <c r="FR12" s="537">
        <f t="shared" si="5"/>
        <v>165</v>
      </c>
      <c r="FS12" s="537">
        <f t="shared" si="5"/>
        <v>166</v>
      </c>
      <c r="FT12" s="537">
        <f t="shared" si="5"/>
        <v>167</v>
      </c>
      <c r="FU12" s="537">
        <f t="shared" si="5"/>
        <v>168</v>
      </c>
      <c r="FV12" s="537">
        <f t="shared" si="5"/>
        <v>169</v>
      </c>
      <c r="FW12" s="537">
        <f t="shared" si="5"/>
        <v>170</v>
      </c>
      <c r="FX12" s="537">
        <f t="shared" si="5"/>
        <v>171</v>
      </c>
      <c r="FY12" s="537">
        <f t="shared" si="5"/>
        <v>172</v>
      </c>
      <c r="FZ12" s="537">
        <f t="shared" si="5"/>
        <v>173</v>
      </c>
      <c r="GA12" s="537">
        <f t="shared" si="5"/>
        <v>174</v>
      </c>
      <c r="GB12" s="537">
        <f t="shared" si="5"/>
        <v>175</v>
      </c>
      <c r="GC12" s="537">
        <f t="shared" si="5"/>
        <v>176</v>
      </c>
      <c r="GD12" s="537">
        <f t="shared" si="5"/>
        <v>177</v>
      </c>
      <c r="GE12" s="537">
        <f t="shared" si="5"/>
        <v>178</v>
      </c>
      <c r="GF12" s="537">
        <f t="shared" si="5"/>
        <v>179</v>
      </c>
      <c r="GG12" s="537">
        <f t="shared" si="5"/>
        <v>180</v>
      </c>
      <c r="GH12" s="537">
        <f t="shared" si="5"/>
        <v>181</v>
      </c>
      <c r="GI12" s="537">
        <f t="shared" si="5"/>
        <v>182</v>
      </c>
      <c r="GJ12" s="537">
        <f t="shared" si="5"/>
        <v>183</v>
      </c>
    </row>
    <row r="13" spans="5:7" ht="12.75">
      <c r="E13" s="535" t="s">
        <v>47</v>
      </c>
      <c r="F13" s="537">
        <f>MAX($J12:$GJ12)</f>
        <v>183</v>
      </c>
      <c r="G13" s="537" t="s">
        <v>48</v>
      </c>
    </row>
    <row r="15" spans="5:192" ht="12.75">
      <c r="E15" s="535" t="str">
        <f>E$10</f>
        <v>Model column counter</v>
      </c>
      <c r="G15" s="537" t="str">
        <f>G$10</f>
        <v>counter</v>
      </c>
      <c r="H15" s="537">
        <f>H$10</f>
        <v>16836</v>
      </c>
      <c r="J15" s="537">
        <f t="shared" si="6" ref="J15:GJ15">J$10</f>
        <v>1</v>
      </c>
      <c r="K15" s="537">
        <f t="shared" si="6"/>
        <v>2</v>
      </c>
      <c r="L15" s="537">
        <f t="shared" si="6"/>
        <v>3</v>
      </c>
      <c r="M15" s="537">
        <f t="shared" si="6"/>
        <v>4</v>
      </c>
      <c r="N15" s="537">
        <f t="shared" si="6"/>
        <v>5</v>
      </c>
      <c r="O15" s="537">
        <f t="shared" si="6"/>
        <v>6</v>
      </c>
      <c r="P15" s="537">
        <f t="shared" si="6"/>
        <v>7</v>
      </c>
      <c r="Q15" s="537">
        <f t="shared" si="6"/>
        <v>8</v>
      </c>
      <c r="R15" s="537">
        <f t="shared" si="6"/>
        <v>9</v>
      </c>
      <c r="S15" s="537">
        <f t="shared" si="6"/>
        <v>10</v>
      </c>
      <c r="T15" s="537">
        <f t="shared" si="6"/>
        <v>11</v>
      </c>
      <c r="U15" s="537">
        <f t="shared" si="6"/>
        <v>12</v>
      </c>
      <c r="V15" s="537">
        <f t="shared" si="6"/>
        <v>13</v>
      </c>
      <c r="W15" s="537">
        <f t="shared" si="6"/>
        <v>14</v>
      </c>
      <c r="X15" s="537">
        <f t="shared" si="6"/>
        <v>15</v>
      </c>
      <c r="Y15" s="537">
        <f t="shared" si="6"/>
        <v>16</v>
      </c>
      <c r="Z15" s="537">
        <f t="shared" si="6"/>
        <v>17</v>
      </c>
      <c r="AA15" s="537">
        <f t="shared" si="6"/>
        <v>18</v>
      </c>
      <c r="AB15" s="537">
        <f t="shared" si="6"/>
        <v>19</v>
      </c>
      <c r="AC15" s="537">
        <f t="shared" si="6"/>
        <v>20</v>
      </c>
      <c r="AD15" s="537">
        <f t="shared" si="6"/>
        <v>21</v>
      </c>
      <c r="AE15" s="537">
        <f t="shared" si="6"/>
        <v>22</v>
      </c>
      <c r="AF15" s="537">
        <f t="shared" si="6"/>
        <v>23</v>
      </c>
      <c r="AG15" s="537">
        <f t="shared" si="6"/>
        <v>24</v>
      </c>
      <c r="AH15" s="537">
        <f t="shared" si="6"/>
        <v>25</v>
      </c>
      <c r="AI15" s="537">
        <f t="shared" si="6"/>
        <v>26</v>
      </c>
      <c r="AJ15" s="537">
        <f t="shared" si="6"/>
        <v>27</v>
      </c>
      <c r="AK15" s="537">
        <f t="shared" si="6"/>
        <v>28</v>
      </c>
      <c r="AL15" s="537">
        <f t="shared" si="6"/>
        <v>29</v>
      </c>
      <c r="AM15" s="537">
        <f t="shared" si="6"/>
        <v>30</v>
      </c>
      <c r="AN15" s="537">
        <f t="shared" si="6"/>
        <v>31</v>
      </c>
      <c r="AO15" s="537">
        <f t="shared" si="6"/>
        <v>32</v>
      </c>
      <c r="AP15" s="537">
        <f t="shared" si="6"/>
        <v>33</v>
      </c>
      <c r="AQ15" s="537">
        <f t="shared" si="6"/>
        <v>34</v>
      </c>
      <c r="AR15" s="537">
        <f t="shared" si="6"/>
        <v>35</v>
      </c>
      <c r="AS15" s="537">
        <f t="shared" si="6"/>
        <v>36</v>
      </c>
      <c r="AT15" s="537">
        <f t="shared" si="6"/>
        <v>37</v>
      </c>
      <c r="AU15" s="537">
        <f t="shared" si="6"/>
        <v>38</v>
      </c>
      <c r="AV15" s="537">
        <f t="shared" si="6"/>
        <v>39</v>
      </c>
      <c r="AW15" s="537">
        <f t="shared" si="6"/>
        <v>40</v>
      </c>
      <c r="AX15" s="537">
        <f t="shared" si="6"/>
        <v>41</v>
      </c>
      <c r="AY15" s="537">
        <f t="shared" si="6"/>
        <v>42</v>
      </c>
      <c r="AZ15" s="537">
        <f t="shared" si="6"/>
        <v>43</v>
      </c>
      <c r="BA15" s="537">
        <f t="shared" si="6"/>
        <v>44</v>
      </c>
      <c r="BB15" s="537">
        <f t="shared" si="6"/>
        <v>45</v>
      </c>
      <c r="BC15" s="537">
        <f t="shared" si="6"/>
        <v>46</v>
      </c>
      <c r="BD15" s="537">
        <f t="shared" si="6"/>
        <v>47</v>
      </c>
      <c r="BE15" s="537">
        <f t="shared" si="6"/>
        <v>48</v>
      </c>
      <c r="BF15" s="537">
        <f t="shared" si="6"/>
        <v>49</v>
      </c>
      <c r="BG15" s="537">
        <f t="shared" si="6"/>
        <v>50</v>
      </c>
      <c r="BH15" s="537">
        <f t="shared" si="6"/>
        <v>51</v>
      </c>
      <c r="BI15" s="537">
        <f t="shared" si="6"/>
        <v>52</v>
      </c>
      <c r="BJ15" s="537">
        <f t="shared" si="6"/>
        <v>53</v>
      </c>
      <c r="BK15" s="537">
        <f t="shared" si="6"/>
        <v>54</v>
      </c>
      <c r="BL15" s="537">
        <f t="shared" si="6"/>
        <v>55</v>
      </c>
      <c r="BM15" s="537">
        <f t="shared" si="6"/>
        <v>56</v>
      </c>
      <c r="BN15" s="537">
        <f t="shared" si="6"/>
        <v>57</v>
      </c>
      <c r="BO15" s="537">
        <f t="shared" si="6"/>
        <v>58</v>
      </c>
      <c r="BP15" s="537">
        <f t="shared" si="6"/>
        <v>59</v>
      </c>
      <c r="BQ15" s="537">
        <f t="shared" si="6"/>
        <v>60</v>
      </c>
      <c r="BR15" s="537">
        <f t="shared" si="6"/>
        <v>61</v>
      </c>
      <c r="BS15" s="537">
        <f t="shared" si="6"/>
        <v>62</v>
      </c>
      <c r="BT15" s="537">
        <f t="shared" si="6"/>
        <v>63</v>
      </c>
      <c r="BU15" s="537">
        <f t="shared" si="6"/>
        <v>64</v>
      </c>
      <c r="BV15" s="537">
        <f t="shared" si="6"/>
        <v>65</v>
      </c>
      <c r="BW15" s="537">
        <f t="shared" si="6"/>
        <v>66</v>
      </c>
      <c r="BX15" s="537">
        <f t="shared" si="6"/>
        <v>67</v>
      </c>
      <c r="BY15" s="537">
        <f t="shared" si="6"/>
        <v>68</v>
      </c>
      <c r="BZ15" s="537">
        <f t="shared" si="6"/>
        <v>69</v>
      </c>
      <c r="CA15" s="537">
        <f t="shared" si="6"/>
        <v>70</v>
      </c>
      <c r="CB15" s="537">
        <f t="shared" si="6"/>
        <v>71</v>
      </c>
      <c r="CC15" s="537">
        <f t="shared" si="6"/>
        <v>72</v>
      </c>
      <c r="CD15" s="537">
        <f t="shared" si="6"/>
        <v>73</v>
      </c>
      <c r="CE15" s="537">
        <f t="shared" si="6"/>
        <v>74</v>
      </c>
      <c r="CF15" s="537">
        <f t="shared" si="6"/>
        <v>75</v>
      </c>
      <c r="CG15" s="537">
        <f t="shared" si="6"/>
        <v>76</v>
      </c>
      <c r="CH15" s="537">
        <f t="shared" si="6"/>
        <v>77</v>
      </c>
      <c r="CI15" s="537">
        <f t="shared" si="6"/>
        <v>78</v>
      </c>
      <c r="CJ15" s="537">
        <f t="shared" si="6"/>
        <v>79</v>
      </c>
      <c r="CK15" s="537">
        <f t="shared" si="6"/>
        <v>80</v>
      </c>
      <c r="CL15" s="537">
        <f t="shared" si="6"/>
        <v>81</v>
      </c>
      <c r="CM15" s="537">
        <f t="shared" si="6"/>
        <v>82</v>
      </c>
      <c r="CN15" s="537">
        <f t="shared" si="6"/>
        <v>83</v>
      </c>
      <c r="CO15" s="537">
        <f t="shared" si="6"/>
        <v>84</v>
      </c>
      <c r="CP15" s="537">
        <f t="shared" si="6"/>
        <v>85</v>
      </c>
      <c r="CQ15" s="537">
        <f t="shared" si="6"/>
        <v>86</v>
      </c>
      <c r="CR15" s="537">
        <f t="shared" si="6"/>
        <v>87</v>
      </c>
      <c r="CS15" s="537">
        <f t="shared" si="6"/>
        <v>88</v>
      </c>
      <c r="CT15" s="537">
        <f t="shared" si="6"/>
        <v>89</v>
      </c>
      <c r="CU15" s="537">
        <f t="shared" si="6"/>
        <v>90</v>
      </c>
      <c r="CV15" s="537">
        <f t="shared" si="6"/>
        <v>91</v>
      </c>
      <c r="CW15" s="537">
        <f t="shared" si="6"/>
        <v>92</v>
      </c>
      <c r="CX15" s="537">
        <f t="shared" si="6"/>
        <v>93</v>
      </c>
      <c r="CY15" s="537">
        <f t="shared" si="6"/>
        <v>94</v>
      </c>
      <c r="CZ15" s="537">
        <f t="shared" si="6"/>
        <v>95</v>
      </c>
      <c r="DA15" s="537">
        <f t="shared" si="6"/>
        <v>96</v>
      </c>
      <c r="DB15" s="537">
        <f t="shared" si="6"/>
        <v>97</v>
      </c>
      <c r="DC15" s="537">
        <f t="shared" si="6"/>
        <v>98</v>
      </c>
      <c r="DD15" s="537">
        <f t="shared" si="6"/>
        <v>99</v>
      </c>
      <c r="DE15" s="537">
        <f t="shared" si="6"/>
        <v>100</v>
      </c>
      <c r="DF15" s="537">
        <f t="shared" si="6"/>
        <v>101</v>
      </c>
      <c r="DG15" s="537">
        <f t="shared" si="6"/>
        <v>102</v>
      </c>
      <c r="DH15" s="537">
        <f t="shared" si="6"/>
        <v>103</v>
      </c>
      <c r="DI15" s="537">
        <f t="shared" si="6"/>
        <v>104</v>
      </c>
      <c r="DJ15" s="537">
        <f t="shared" si="6"/>
        <v>105</v>
      </c>
      <c r="DK15" s="537">
        <f t="shared" si="6"/>
        <v>106</v>
      </c>
      <c r="DL15" s="537">
        <f t="shared" si="6"/>
        <v>107</v>
      </c>
      <c r="DM15" s="537">
        <f t="shared" si="6"/>
        <v>108</v>
      </c>
      <c r="DN15" s="537">
        <f t="shared" si="6"/>
        <v>109</v>
      </c>
      <c r="DO15" s="537">
        <f t="shared" si="6"/>
        <v>110</v>
      </c>
      <c r="DP15" s="537">
        <f t="shared" si="6"/>
        <v>111</v>
      </c>
      <c r="DQ15" s="537">
        <f t="shared" si="6"/>
        <v>112</v>
      </c>
      <c r="DR15" s="537">
        <f t="shared" si="6"/>
        <v>113</v>
      </c>
      <c r="DS15" s="537">
        <f t="shared" si="6"/>
        <v>114</v>
      </c>
      <c r="DT15" s="537">
        <f t="shared" si="6"/>
        <v>115</v>
      </c>
      <c r="DU15" s="537">
        <f t="shared" si="6"/>
        <v>116</v>
      </c>
      <c r="DV15" s="537">
        <f t="shared" si="6"/>
        <v>117</v>
      </c>
      <c r="DW15" s="537">
        <f t="shared" si="6"/>
        <v>118</v>
      </c>
      <c r="DX15" s="537">
        <f t="shared" si="6"/>
        <v>119</v>
      </c>
      <c r="DY15" s="537">
        <f t="shared" si="6"/>
        <v>120</v>
      </c>
      <c r="DZ15" s="537">
        <f t="shared" si="6"/>
        <v>121</v>
      </c>
      <c r="EA15" s="537">
        <f t="shared" si="6"/>
        <v>122</v>
      </c>
      <c r="EB15" s="537">
        <f t="shared" si="6"/>
        <v>123</v>
      </c>
      <c r="EC15" s="537">
        <f t="shared" si="6"/>
        <v>124</v>
      </c>
      <c r="ED15" s="537">
        <f t="shared" si="6"/>
        <v>125</v>
      </c>
      <c r="EE15" s="537">
        <f t="shared" si="6"/>
        <v>126</v>
      </c>
      <c r="EF15" s="537">
        <f t="shared" si="6"/>
        <v>127</v>
      </c>
      <c r="EG15" s="537">
        <f t="shared" si="6"/>
        <v>128</v>
      </c>
      <c r="EH15" s="537">
        <f t="shared" si="6"/>
        <v>129</v>
      </c>
      <c r="EI15" s="537">
        <f t="shared" si="6"/>
        <v>130</v>
      </c>
      <c r="EJ15" s="537">
        <f t="shared" si="6"/>
        <v>131</v>
      </c>
      <c r="EK15" s="537">
        <f t="shared" si="6"/>
        <v>132</v>
      </c>
      <c r="EL15" s="537">
        <f t="shared" si="6"/>
        <v>133</v>
      </c>
      <c r="EM15" s="537">
        <f t="shared" si="6"/>
        <v>134</v>
      </c>
      <c r="EN15" s="537">
        <f t="shared" si="6"/>
        <v>135</v>
      </c>
      <c r="EO15" s="537">
        <f t="shared" si="6"/>
        <v>136</v>
      </c>
      <c r="EP15" s="537">
        <f t="shared" si="6"/>
        <v>137</v>
      </c>
      <c r="EQ15" s="537">
        <f t="shared" si="6"/>
        <v>138</v>
      </c>
      <c r="ER15" s="537">
        <f t="shared" si="6"/>
        <v>139</v>
      </c>
      <c r="ES15" s="537">
        <f t="shared" si="6"/>
        <v>140</v>
      </c>
      <c r="ET15" s="537">
        <f t="shared" si="6"/>
        <v>141</v>
      </c>
      <c r="EU15" s="537">
        <f t="shared" si="6"/>
        <v>142</v>
      </c>
      <c r="EV15" s="537">
        <f t="shared" si="6"/>
        <v>143</v>
      </c>
      <c r="EW15" s="537">
        <f t="shared" si="6"/>
        <v>144</v>
      </c>
      <c r="EX15" s="537">
        <f t="shared" si="6"/>
        <v>145</v>
      </c>
      <c r="EY15" s="537">
        <f t="shared" si="6"/>
        <v>146</v>
      </c>
      <c r="EZ15" s="537">
        <f t="shared" si="6"/>
        <v>147</v>
      </c>
      <c r="FA15" s="537">
        <f t="shared" si="6"/>
        <v>148</v>
      </c>
      <c r="FB15" s="537">
        <f t="shared" si="6"/>
        <v>149</v>
      </c>
      <c r="FC15" s="537">
        <f t="shared" si="6"/>
        <v>150</v>
      </c>
      <c r="FD15" s="537">
        <f t="shared" si="6"/>
        <v>151</v>
      </c>
      <c r="FE15" s="537">
        <f t="shared" si="6"/>
        <v>152</v>
      </c>
      <c r="FF15" s="537">
        <f t="shared" si="6"/>
        <v>153</v>
      </c>
      <c r="FG15" s="537">
        <f t="shared" si="6"/>
        <v>154</v>
      </c>
      <c r="FH15" s="537">
        <f t="shared" si="6"/>
        <v>155</v>
      </c>
      <c r="FI15" s="537">
        <f t="shared" si="6"/>
        <v>156</v>
      </c>
      <c r="FJ15" s="537">
        <f t="shared" si="6"/>
        <v>157</v>
      </c>
      <c r="FK15" s="537">
        <f t="shared" si="6"/>
        <v>158</v>
      </c>
      <c r="FL15" s="537">
        <f t="shared" si="6"/>
        <v>159</v>
      </c>
      <c r="FM15" s="537">
        <f t="shared" si="6"/>
        <v>160</v>
      </c>
      <c r="FN15" s="537">
        <f t="shared" si="6"/>
        <v>161</v>
      </c>
      <c r="FO15" s="537">
        <f t="shared" si="6"/>
        <v>162</v>
      </c>
      <c r="FP15" s="537">
        <f t="shared" si="6"/>
        <v>163</v>
      </c>
      <c r="FQ15" s="537">
        <f t="shared" si="6"/>
        <v>164</v>
      </c>
      <c r="FR15" s="537">
        <f t="shared" si="6"/>
        <v>165</v>
      </c>
      <c r="FS15" s="537">
        <f t="shared" si="6"/>
        <v>166</v>
      </c>
      <c r="FT15" s="537">
        <f t="shared" si="6"/>
        <v>167</v>
      </c>
      <c r="FU15" s="537">
        <f t="shared" si="6"/>
        <v>168</v>
      </c>
      <c r="FV15" s="537">
        <f t="shared" si="6"/>
        <v>169</v>
      </c>
      <c r="FW15" s="537">
        <f t="shared" si="6"/>
        <v>170</v>
      </c>
      <c r="FX15" s="537">
        <f t="shared" si="6"/>
        <v>171</v>
      </c>
      <c r="FY15" s="537">
        <f t="shared" si="6"/>
        <v>172</v>
      </c>
      <c r="FZ15" s="537">
        <f t="shared" si="6"/>
        <v>173</v>
      </c>
      <c r="GA15" s="537">
        <f t="shared" si="6"/>
        <v>174</v>
      </c>
      <c r="GB15" s="537">
        <f t="shared" si="6"/>
        <v>175</v>
      </c>
      <c r="GC15" s="537">
        <f t="shared" si="6"/>
        <v>176</v>
      </c>
      <c r="GD15" s="537">
        <f t="shared" si="6"/>
        <v>177</v>
      </c>
      <c r="GE15" s="537">
        <f t="shared" si="6"/>
        <v>178</v>
      </c>
      <c r="GF15" s="537">
        <f t="shared" si="6"/>
        <v>179</v>
      </c>
      <c r="GG15" s="537">
        <f t="shared" si="6"/>
        <v>180</v>
      </c>
      <c r="GH15" s="537">
        <f t="shared" si="6"/>
        <v>181</v>
      </c>
      <c r="GI15" s="537">
        <f t="shared" si="6"/>
        <v>182</v>
      </c>
      <c r="GJ15" s="537">
        <f t="shared" si="6"/>
        <v>183</v>
      </c>
    </row>
    <row r="16" spans="5:192" ht="12.75">
      <c r="E16" s="535" t="s">
        <v>49</v>
      </c>
      <c r="G16" s="537" t="s">
        <v>50</v>
      </c>
      <c r="H16" s="537">
        <f>SUM(J16:GJ16)</f>
        <v>1</v>
      </c>
      <c r="J16" s="537">
        <f t="shared" si="7" ref="J16:GJ16">IF(J15=1,1,0)</f>
        <v>1</v>
      </c>
      <c r="K16" s="537">
        <f t="shared" si="7"/>
        <v>0</v>
      </c>
      <c r="L16" s="537">
        <f t="shared" si="7"/>
        <v>0</v>
      </c>
      <c r="M16" s="537">
        <f t="shared" si="7"/>
        <v>0</v>
      </c>
      <c r="N16" s="537">
        <f t="shared" si="7"/>
        <v>0</v>
      </c>
      <c r="O16" s="537">
        <f t="shared" si="7"/>
        <v>0</v>
      </c>
      <c r="P16" s="537">
        <f t="shared" si="7"/>
        <v>0</v>
      </c>
      <c r="Q16" s="537">
        <f t="shared" si="7"/>
        <v>0</v>
      </c>
      <c r="R16" s="537">
        <f t="shared" si="7"/>
        <v>0</v>
      </c>
      <c r="S16" s="537">
        <f t="shared" si="7"/>
        <v>0</v>
      </c>
      <c r="T16" s="537">
        <f t="shared" si="7"/>
        <v>0</v>
      </c>
      <c r="U16" s="537">
        <f t="shared" si="7"/>
        <v>0</v>
      </c>
      <c r="V16" s="537">
        <f t="shared" si="7"/>
        <v>0</v>
      </c>
      <c r="W16" s="537">
        <f t="shared" si="7"/>
        <v>0</v>
      </c>
      <c r="X16" s="537">
        <f t="shared" si="7"/>
        <v>0</v>
      </c>
      <c r="Y16" s="537">
        <f t="shared" si="7"/>
        <v>0</v>
      </c>
      <c r="Z16" s="537">
        <f t="shared" si="7"/>
        <v>0</v>
      </c>
      <c r="AA16" s="537">
        <f t="shared" si="7"/>
        <v>0</v>
      </c>
      <c r="AB16" s="537">
        <f t="shared" si="7"/>
        <v>0</v>
      </c>
      <c r="AC16" s="537">
        <f t="shared" si="7"/>
        <v>0</v>
      </c>
      <c r="AD16" s="537">
        <f t="shared" si="7"/>
        <v>0</v>
      </c>
      <c r="AE16" s="537">
        <f t="shared" si="7"/>
        <v>0</v>
      </c>
      <c r="AF16" s="537">
        <f t="shared" si="7"/>
        <v>0</v>
      </c>
      <c r="AG16" s="537">
        <f t="shared" si="7"/>
        <v>0</v>
      </c>
      <c r="AH16" s="537">
        <f t="shared" si="7"/>
        <v>0</v>
      </c>
      <c r="AI16" s="537">
        <f t="shared" si="7"/>
        <v>0</v>
      </c>
      <c r="AJ16" s="537">
        <f t="shared" si="7"/>
        <v>0</v>
      </c>
      <c r="AK16" s="537">
        <f t="shared" si="7"/>
        <v>0</v>
      </c>
      <c r="AL16" s="537">
        <f t="shared" si="7"/>
        <v>0</v>
      </c>
      <c r="AM16" s="537">
        <f t="shared" si="7"/>
        <v>0</v>
      </c>
      <c r="AN16" s="537">
        <f t="shared" si="7"/>
        <v>0</v>
      </c>
      <c r="AO16" s="537">
        <f t="shared" si="7"/>
        <v>0</v>
      </c>
      <c r="AP16" s="537">
        <f t="shared" si="7"/>
        <v>0</v>
      </c>
      <c r="AQ16" s="537">
        <f t="shared" si="7"/>
        <v>0</v>
      </c>
      <c r="AR16" s="537">
        <f t="shared" si="7"/>
        <v>0</v>
      </c>
      <c r="AS16" s="537">
        <f t="shared" si="7"/>
        <v>0</v>
      </c>
      <c r="AT16" s="537">
        <f t="shared" si="7"/>
        <v>0</v>
      </c>
      <c r="AU16" s="537">
        <f t="shared" si="7"/>
        <v>0</v>
      </c>
      <c r="AV16" s="537">
        <f t="shared" si="7"/>
        <v>0</v>
      </c>
      <c r="AW16" s="537">
        <f t="shared" si="7"/>
        <v>0</v>
      </c>
      <c r="AX16" s="537">
        <f t="shared" si="7"/>
        <v>0</v>
      </c>
      <c r="AY16" s="537">
        <f t="shared" si="7"/>
        <v>0</v>
      </c>
      <c r="AZ16" s="537">
        <f t="shared" si="7"/>
        <v>0</v>
      </c>
      <c r="BA16" s="537">
        <f t="shared" si="7"/>
        <v>0</v>
      </c>
      <c r="BB16" s="537">
        <f t="shared" si="7"/>
        <v>0</v>
      </c>
      <c r="BC16" s="537">
        <f t="shared" si="7"/>
        <v>0</v>
      </c>
      <c r="BD16" s="537">
        <f t="shared" si="7"/>
        <v>0</v>
      </c>
      <c r="BE16" s="537">
        <f t="shared" si="7"/>
        <v>0</v>
      </c>
      <c r="BF16" s="537">
        <f t="shared" si="7"/>
        <v>0</v>
      </c>
      <c r="BG16" s="537">
        <f t="shared" si="7"/>
        <v>0</v>
      </c>
      <c r="BH16" s="537">
        <f t="shared" si="7"/>
        <v>0</v>
      </c>
      <c r="BI16" s="537">
        <f t="shared" si="7"/>
        <v>0</v>
      </c>
      <c r="BJ16" s="537">
        <f t="shared" si="7"/>
        <v>0</v>
      </c>
      <c r="BK16" s="537">
        <f t="shared" si="7"/>
        <v>0</v>
      </c>
      <c r="BL16" s="537">
        <f t="shared" si="7"/>
        <v>0</v>
      </c>
      <c r="BM16" s="537">
        <f t="shared" si="7"/>
        <v>0</v>
      </c>
      <c r="BN16" s="537">
        <f t="shared" si="7"/>
        <v>0</v>
      </c>
      <c r="BO16" s="537">
        <f t="shared" si="7"/>
        <v>0</v>
      </c>
      <c r="BP16" s="537">
        <f t="shared" si="7"/>
        <v>0</v>
      </c>
      <c r="BQ16" s="537">
        <f t="shared" si="7"/>
        <v>0</v>
      </c>
      <c r="BR16" s="537">
        <f t="shared" si="7"/>
        <v>0</v>
      </c>
      <c r="BS16" s="537">
        <f t="shared" si="7"/>
        <v>0</v>
      </c>
      <c r="BT16" s="537">
        <f t="shared" si="7"/>
        <v>0</v>
      </c>
      <c r="BU16" s="537">
        <f t="shared" si="7"/>
        <v>0</v>
      </c>
      <c r="BV16" s="537">
        <f t="shared" si="7"/>
        <v>0</v>
      </c>
      <c r="BW16" s="537">
        <f t="shared" si="7"/>
        <v>0</v>
      </c>
      <c r="BX16" s="537">
        <f t="shared" si="7"/>
        <v>0</v>
      </c>
      <c r="BY16" s="537">
        <f t="shared" si="7"/>
        <v>0</v>
      </c>
      <c r="BZ16" s="537">
        <f t="shared" si="7"/>
        <v>0</v>
      </c>
      <c r="CA16" s="537">
        <f t="shared" si="7"/>
        <v>0</v>
      </c>
      <c r="CB16" s="537">
        <f t="shared" si="7"/>
        <v>0</v>
      </c>
      <c r="CC16" s="537">
        <f t="shared" si="7"/>
        <v>0</v>
      </c>
      <c r="CD16" s="537">
        <f t="shared" si="7"/>
        <v>0</v>
      </c>
      <c r="CE16" s="537">
        <f t="shared" si="7"/>
        <v>0</v>
      </c>
      <c r="CF16" s="537">
        <f t="shared" si="7"/>
        <v>0</v>
      </c>
      <c r="CG16" s="537">
        <f t="shared" si="7"/>
        <v>0</v>
      </c>
      <c r="CH16" s="537">
        <f t="shared" si="7"/>
        <v>0</v>
      </c>
      <c r="CI16" s="537">
        <f t="shared" si="7"/>
        <v>0</v>
      </c>
      <c r="CJ16" s="537">
        <f t="shared" si="7"/>
        <v>0</v>
      </c>
      <c r="CK16" s="537">
        <f t="shared" si="7"/>
        <v>0</v>
      </c>
      <c r="CL16" s="537">
        <f t="shared" si="7"/>
        <v>0</v>
      </c>
      <c r="CM16" s="537">
        <f t="shared" si="7"/>
        <v>0</v>
      </c>
      <c r="CN16" s="537">
        <f t="shared" si="7"/>
        <v>0</v>
      </c>
      <c r="CO16" s="537">
        <f t="shared" si="7"/>
        <v>0</v>
      </c>
      <c r="CP16" s="537">
        <f t="shared" si="7"/>
        <v>0</v>
      </c>
      <c r="CQ16" s="537">
        <f t="shared" si="7"/>
        <v>0</v>
      </c>
      <c r="CR16" s="537">
        <f t="shared" si="7"/>
        <v>0</v>
      </c>
      <c r="CS16" s="537">
        <f t="shared" si="7"/>
        <v>0</v>
      </c>
      <c r="CT16" s="537">
        <f t="shared" si="7"/>
        <v>0</v>
      </c>
      <c r="CU16" s="537">
        <f t="shared" si="7"/>
        <v>0</v>
      </c>
      <c r="CV16" s="537">
        <f t="shared" si="7"/>
        <v>0</v>
      </c>
      <c r="CW16" s="537">
        <f t="shared" si="7"/>
        <v>0</v>
      </c>
      <c r="CX16" s="537">
        <f t="shared" si="7"/>
        <v>0</v>
      </c>
      <c r="CY16" s="537">
        <f t="shared" si="7"/>
        <v>0</v>
      </c>
      <c r="CZ16" s="537">
        <f t="shared" si="7"/>
        <v>0</v>
      </c>
      <c r="DA16" s="537">
        <f t="shared" si="7"/>
        <v>0</v>
      </c>
      <c r="DB16" s="537">
        <f t="shared" si="7"/>
        <v>0</v>
      </c>
      <c r="DC16" s="537">
        <f t="shared" si="7"/>
        <v>0</v>
      </c>
      <c r="DD16" s="537">
        <f t="shared" si="7"/>
        <v>0</v>
      </c>
      <c r="DE16" s="537">
        <f t="shared" si="7"/>
        <v>0</v>
      </c>
      <c r="DF16" s="537">
        <f t="shared" si="7"/>
        <v>0</v>
      </c>
      <c r="DG16" s="537">
        <f t="shared" si="7"/>
        <v>0</v>
      </c>
      <c r="DH16" s="537">
        <f t="shared" si="7"/>
        <v>0</v>
      </c>
      <c r="DI16" s="537">
        <f t="shared" si="7"/>
        <v>0</v>
      </c>
      <c r="DJ16" s="537">
        <f t="shared" si="7"/>
        <v>0</v>
      </c>
      <c r="DK16" s="537">
        <f t="shared" si="7"/>
        <v>0</v>
      </c>
      <c r="DL16" s="537">
        <f t="shared" si="7"/>
        <v>0</v>
      </c>
      <c r="DM16" s="537">
        <f t="shared" si="7"/>
        <v>0</v>
      </c>
      <c r="DN16" s="537">
        <f t="shared" si="7"/>
        <v>0</v>
      </c>
      <c r="DO16" s="537">
        <f t="shared" si="7"/>
        <v>0</v>
      </c>
      <c r="DP16" s="537">
        <f t="shared" si="7"/>
        <v>0</v>
      </c>
      <c r="DQ16" s="537">
        <f t="shared" si="7"/>
        <v>0</v>
      </c>
      <c r="DR16" s="537">
        <f t="shared" si="7"/>
        <v>0</v>
      </c>
      <c r="DS16" s="537">
        <f t="shared" si="7"/>
        <v>0</v>
      </c>
      <c r="DT16" s="537">
        <f t="shared" si="7"/>
        <v>0</v>
      </c>
      <c r="DU16" s="537">
        <f t="shared" si="7"/>
        <v>0</v>
      </c>
      <c r="DV16" s="537">
        <f t="shared" si="7"/>
        <v>0</v>
      </c>
      <c r="DW16" s="537">
        <f t="shared" si="7"/>
        <v>0</v>
      </c>
      <c r="DX16" s="537">
        <f t="shared" si="7"/>
        <v>0</v>
      </c>
      <c r="DY16" s="537">
        <f t="shared" si="7"/>
        <v>0</v>
      </c>
      <c r="DZ16" s="537">
        <f t="shared" si="7"/>
        <v>0</v>
      </c>
      <c r="EA16" s="537">
        <f t="shared" si="7"/>
        <v>0</v>
      </c>
      <c r="EB16" s="537">
        <f t="shared" si="7"/>
        <v>0</v>
      </c>
      <c r="EC16" s="537">
        <f t="shared" si="7"/>
        <v>0</v>
      </c>
      <c r="ED16" s="537">
        <f t="shared" si="7"/>
        <v>0</v>
      </c>
      <c r="EE16" s="537">
        <f t="shared" si="7"/>
        <v>0</v>
      </c>
      <c r="EF16" s="537">
        <f t="shared" si="7"/>
        <v>0</v>
      </c>
      <c r="EG16" s="537">
        <f t="shared" si="7"/>
        <v>0</v>
      </c>
      <c r="EH16" s="537">
        <f t="shared" si="7"/>
        <v>0</v>
      </c>
      <c r="EI16" s="537">
        <f t="shared" si="7"/>
        <v>0</v>
      </c>
      <c r="EJ16" s="537">
        <f t="shared" si="7"/>
        <v>0</v>
      </c>
      <c r="EK16" s="537">
        <f t="shared" si="7"/>
        <v>0</v>
      </c>
      <c r="EL16" s="537">
        <f t="shared" si="7"/>
        <v>0</v>
      </c>
      <c r="EM16" s="537">
        <f t="shared" si="7"/>
        <v>0</v>
      </c>
      <c r="EN16" s="537">
        <f t="shared" si="7"/>
        <v>0</v>
      </c>
      <c r="EO16" s="537">
        <f t="shared" si="7"/>
        <v>0</v>
      </c>
      <c r="EP16" s="537">
        <f t="shared" si="7"/>
        <v>0</v>
      </c>
      <c r="EQ16" s="537">
        <f t="shared" si="7"/>
        <v>0</v>
      </c>
      <c r="ER16" s="537">
        <f t="shared" si="7"/>
        <v>0</v>
      </c>
      <c r="ES16" s="537">
        <f t="shared" si="7"/>
        <v>0</v>
      </c>
      <c r="ET16" s="537">
        <f t="shared" si="7"/>
        <v>0</v>
      </c>
      <c r="EU16" s="537">
        <f t="shared" si="7"/>
        <v>0</v>
      </c>
      <c r="EV16" s="537">
        <f t="shared" si="7"/>
        <v>0</v>
      </c>
      <c r="EW16" s="537">
        <f t="shared" si="7"/>
        <v>0</v>
      </c>
      <c r="EX16" s="537">
        <f t="shared" si="7"/>
        <v>0</v>
      </c>
      <c r="EY16" s="537">
        <f t="shared" si="7"/>
        <v>0</v>
      </c>
      <c r="EZ16" s="537">
        <f t="shared" si="7"/>
        <v>0</v>
      </c>
      <c r="FA16" s="537">
        <f t="shared" si="7"/>
        <v>0</v>
      </c>
      <c r="FB16" s="537">
        <f t="shared" si="7"/>
        <v>0</v>
      </c>
      <c r="FC16" s="537">
        <f t="shared" si="7"/>
        <v>0</v>
      </c>
      <c r="FD16" s="537">
        <f t="shared" si="7"/>
        <v>0</v>
      </c>
      <c r="FE16" s="537">
        <f t="shared" si="7"/>
        <v>0</v>
      </c>
      <c r="FF16" s="537">
        <f t="shared" si="7"/>
        <v>0</v>
      </c>
      <c r="FG16" s="537">
        <f t="shared" si="7"/>
        <v>0</v>
      </c>
      <c r="FH16" s="537">
        <f t="shared" si="7"/>
        <v>0</v>
      </c>
      <c r="FI16" s="537">
        <f t="shared" si="7"/>
        <v>0</v>
      </c>
      <c r="FJ16" s="537">
        <f t="shared" si="7"/>
        <v>0</v>
      </c>
      <c r="FK16" s="537">
        <f t="shared" si="7"/>
        <v>0</v>
      </c>
      <c r="FL16" s="537">
        <f t="shared" si="7"/>
        <v>0</v>
      </c>
      <c r="FM16" s="537">
        <f t="shared" si="7"/>
        <v>0</v>
      </c>
      <c r="FN16" s="537">
        <f t="shared" si="7"/>
        <v>0</v>
      </c>
      <c r="FO16" s="537">
        <f t="shared" si="7"/>
        <v>0</v>
      </c>
      <c r="FP16" s="537">
        <f t="shared" si="7"/>
        <v>0</v>
      </c>
      <c r="FQ16" s="537">
        <f t="shared" si="7"/>
        <v>0</v>
      </c>
      <c r="FR16" s="537">
        <f t="shared" si="7"/>
        <v>0</v>
      </c>
      <c r="FS16" s="537">
        <f t="shared" si="7"/>
        <v>0</v>
      </c>
      <c r="FT16" s="537">
        <f t="shared" si="7"/>
        <v>0</v>
      </c>
      <c r="FU16" s="537">
        <f t="shared" si="7"/>
        <v>0</v>
      </c>
      <c r="FV16" s="537">
        <f t="shared" si="7"/>
        <v>0</v>
      </c>
      <c r="FW16" s="537">
        <f t="shared" si="7"/>
        <v>0</v>
      </c>
      <c r="FX16" s="537">
        <f t="shared" si="7"/>
        <v>0</v>
      </c>
      <c r="FY16" s="537">
        <f t="shared" si="7"/>
        <v>0</v>
      </c>
      <c r="FZ16" s="537">
        <f t="shared" si="7"/>
        <v>0</v>
      </c>
      <c r="GA16" s="537">
        <f t="shared" si="7"/>
        <v>0</v>
      </c>
      <c r="GB16" s="537">
        <f t="shared" si="7"/>
        <v>0</v>
      </c>
      <c r="GC16" s="537">
        <f t="shared" si="7"/>
        <v>0</v>
      </c>
      <c r="GD16" s="537">
        <f t="shared" si="7"/>
        <v>0</v>
      </c>
      <c r="GE16" s="537">
        <f t="shared" si="7"/>
        <v>0</v>
      </c>
      <c r="GF16" s="537">
        <f t="shared" si="7"/>
        <v>0</v>
      </c>
      <c r="GG16" s="537">
        <f t="shared" si="7"/>
        <v>0</v>
      </c>
      <c r="GH16" s="537">
        <f t="shared" si="7"/>
        <v>0</v>
      </c>
      <c r="GI16" s="537">
        <f t="shared" si="7"/>
        <v>0</v>
      </c>
      <c r="GJ16" s="537">
        <f t="shared" si="7"/>
        <v>0</v>
      </c>
    </row>
    <row r="18" spans="2:2" ht="12.75">
      <c r="B18" s="534" t="s">
        <v>51</v>
      </c>
    </row>
    <row r="19" spans="5:7" ht="12.75">
      <c r="E19" s="546" t="str">
        <f>InpC!E$19</f>
        <v>Financial close date</v>
      </c>
      <c r="F19" s="547">
        <f>InpC!F$19</f>
        <v>46203</v>
      </c>
      <c r="G19" s="547" t="str">
        <f>InpC!G$19</f>
        <v>date</v>
      </c>
    </row>
    <row r="20" spans="5:7" ht="12.75">
      <c r="E20" s="546" t="str">
        <f>InpC!E$20</f>
        <v>Construction period length</v>
      </c>
      <c r="F20" s="548">
        <f>InpC!F$20</f>
        <v>24</v>
      </c>
      <c r="G20" s="548" t="str">
        <f>InpC!G$20</f>
        <v>months</v>
      </c>
    </row>
    <row r="21" spans="5:7" ht="12.75">
      <c r="E21" s="535" t="s">
        <v>52</v>
      </c>
      <c r="F21" s="540">
        <f>EOMONTH($F19,$F20)</f>
        <v>46934</v>
      </c>
      <c r="G21" s="540" t="s">
        <v>14</v>
      </c>
    </row>
    <row r="23" spans="5:7" ht="12.75">
      <c r="E23" s="546" t="str">
        <f>InpC!E$13</f>
        <v>First date of time rulers</v>
      </c>
      <c r="F23" s="547">
        <f>InpC!F$13</f>
        <v>46023</v>
      </c>
      <c r="G23" s="547" t="str">
        <f>InpC!G$13</f>
        <v>date</v>
      </c>
    </row>
    <row r="24" spans="5:7" ht="12.75">
      <c r="E24" s="546" t="str">
        <f>InpC!E$26</f>
        <v>Months in year</v>
      </c>
      <c r="F24" s="548">
        <f>InpC!F$26</f>
        <v>12</v>
      </c>
      <c r="G24" s="548" t="str">
        <f>InpC!G$26</f>
        <v>months</v>
      </c>
    </row>
    <row r="25" spans="5:7" ht="12.75">
      <c r="E25" s="535" t="str">
        <f>E$21</f>
        <v>End of construction period date</v>
      </c>
      <c r="F25" s="540">
        <f>F$21</f>
        <v>46934</v>
      </c>
      <c r="G25" s="540" t="str">
        <f>G$21</f>
        <v>date</v>
      </c>
    </row>
    <row r="26" spans="5:7" ht="12.75">
      <c r="E26" s="535" t="s">
        <v>53</v>
      </c>
      <c r="F26" s="537">
        <f>ROUND(YEARFRAC(EOMONTH($F23,-1)+1,EOMONTH($F25,0))*$F24,0)</f>
        <v>30</v>
      </c>
      <c r="G26" s="537" t="s">
        <v>17</v>
      </c>
    </row>
    <row r="28" spans="5:7" ht="12.75">
      <c r="E28" s="535" t="str">
        <f>E$26</f>
        <v>Number of construction periods</v>
      </c>
      <c r="F28" s="537">
        <f>F$26</f>
        <v>30</v>
      </c>
      <c r="G28" s="537" t="str">
        <f>G$26</f>
        <v>months</v>
      </c>
    </row>
    <row r="29" spans="5:192" ht="12.75">
      <c r="E29" s="535" t="str">
        <f>E$10</f>
        <v>Model column counter</v>
      </c>
      <c r="G29" s="537" t="str">
        <f>G$10</f>
        <v>counter</v>
      </c>
      <c r="H29" s="537">
        <f>H$10</f>
        <v>16836</v>
      </c>
      <c r="J29" s="537">
        <f t="shared" si="8" ref="J29:GJ29">J$10</f>
        <v>1</v>
      </c>
      <c r="K29" s="537">
        <f t="shared" si="8"/>
        <v>2</v>
      </c>
      <c r="L29" s="537">
        <f t="shared" si="8"/>
        <v>3</v>
      </c>
      <c r="M29" s="537">
        <f t="shared" si="8"/>
        <v>4</v>
      </c>
      <c r="N29" s="537">
        <f t="shared" si="8"/>
        <v>5</v>
      </c>
      <c r="O29" s="537">
        <f t="shared" si="8"/>
        <v>6</v>
      </c>
      <c r="P29" s="537">
        <f t="shared" si="8"/>
        <v>7</v>
      </c>
      <c r="Q29" s="537">
        <f t="shared" si="8"/>
        <v>8</v>
      </c>
      <c r="R29" s="537">
        <f t="shared" si="8"/>
        <v>9</v>
      </c>
      <c r="S29" s="537">
        <f t="shared" si="8"/>
        <v>10</v>
      </c>
      <c r="T29" s="537">
        <f t="shared" si="8"/>
        <v>11</v>
      </c>
      <c r="U29" s="537">
        <f t="shared" si="8"/>
        <v>12</v>
      </c>
      <c r="V29" s="537">
        <f t="shared" si="8"/>
        <v>13</v>
      </c>
      <c r="W29" s="537">
        <f t="shared" si="8"/>
        <v>14</v>
      </c>
      <c r="X29" s="537">
        <f t="shared" si="8"/>
        <v>15</v>
      </c>
      <c r="Y29" s="537">
        <f t="shared" si="8"/>
        <v>16</v>
      </c>
      <c r="Z29" s="537">
        <f t="shared" si="8"/>
        <v>17</v>
      </c>
      <c r="AA29" s="537">
        <f t="shared" si="8"/>
        <v>18</v>
      </c>
      <c r="AB29" s="537">
        <f t="shared" si="8"/>
        <v>19</v>
      </c>
      <c r="AC29" s="537">
        <f t="shared" si="8"/>
        <v>20</v>
      </c>
      <c r="AD29" s="537">
        <f t="shared" si="8"/>
        <v>21</v>
      </c>
      <c r="AE29" s="537">
        <f t="shared" si="8"/>
        <v>22</v>
      </c>
      <c r="AF29" s="537">
        <f t="shared" si="8"/>
        <v>23</v>
      </c>
      <c r="AG29" s="537">
        <f t="shared" si="8"/>
        <v>24</v>
      </c>
      <c r="AH29" s="537">
        <f t="shared" si="8"/>
        <v>25</v>
      </c>
      <c r="AI29" s="537">
        <f t="shared" si="8"/>
        <v>26</v>
      </c>
      <c r="AJ29" s="537">
        <f t="shared" si="8"/>
        <v>27</v>
      </c>
      <c r="AK29" s="537">
        <f t="shared" si="8"/>
        <v>28</v>
      </c>
      <c r="AL29" s="537">
        <f t="shared" si="8"/>
        <v>29</v>
      </c>
      <c r="AM29" s="537">
        <f t="shared" si="8"/>
        <v>30</v>
      </c>
      <c r="AN29" s="537">
        <f t="shared" si="8"/>
        <v>31</v>
      </c>
      <c r="AO29" s="537">
        <f t="shared" si="8"/>
        <v>32</v>
      </c>
      <c r="AP29" s="537">
        <f t="shared" si="8"/>
        <v>33</v>
      </c>
      <c r="AQ29" s="537">
        <f t="shared" si="8"/>
        <v>34</v>
      </c>
      <c r="AR29" s="537">
        <f t="shared" si="8"/>
        <v>35</v>
      </c>
      <c r="AS29" s="537">
        <f t="shared" si="8"/>
        <v>36</v>
      </c>
      <c r="AT29" s="537">
        <f t="shared" si="8"/>
        <v>37</v>
      </c>
      <c r="AU29" s="537">
        <f t="shared" si="8"/>
        <v>38</v>
      </c>
      <c r="AV29" s="537">
        <f t="shared" si="8"/>
        <v>39</v>
      </c>
      <c r="AW29" s="537">
        <f t="shared" si="8"/>
        <v>40</v>
      </c>
      <c r="AX29" s="537">
        <f t="shared" si="8"/>
        <v>41</v>
      </c>
      <c r="AY29" s="537">
        <f t="shared" si="8"/>
        <v>42</v>
      </c>
      <c r="AZ29" s="537">
        <f t="shared" si="8"/>
        <v>43</v>
      </c>
      <c r="BA29" s="537">
        <f t="shared" si="8"/>
        <v>44</v>
      </c>
      <c r="BB29" s="537">
        <f t="shared" si="8"/>
        <v>45</v>
      </c>
      <c r="BC29" s="537">
        <f t="shared" si="8"/>
        <v>46</v>
      </c>
      <c r="BD29" s="537">
        <f t="shared" si="8"/>
        <v>47</v>
      </c>
      <c r="BE29" s="537">
        <f t="shared" si="8"/>
        <v>48</v>
      </c>
      <c r="BF29" s="537">
        <f t="shared" si="8"/>
        <v>49</v>
      </c>
      <c r="BG29" s="537">
        <f t="shared" si="8"/>
        <v>50</v>
      </c>
      <c r="BH29" s="537">
        <f t="shared" si="8"/>
        <v>51</v>
      </c>
      <c r="BI29" s="537">
        <f t="shared" si="8"/>
        <v>52</v>
      </c>
      <c r="BJ29" s="537">
        <f t="shared" si="8"/>
        <v>53</v>
      </c>
      <c r="BK29" s="537">
        <f t="shared" si="8"/>
        <v>54</v>
      </c>
      <c r="BL29" s="537">
        <f t="shared" si="8"/>
        <v>55</v>
      </c>
      <c r="BM29" s="537">
        <f t="shared" si="8"/>
        <v>56</v>
      </c>
      <c r="BN29" s="537">
        <f t="shared" si="8"/>
        <v>57</v>
      </c>
      <c r="BO29" s="537">
        <f t="shared" si="8"/>
        <v>58</v>
      </c>
      <c r="BP29" s="537">
        <f t="shared" si="8"/>
        <v>59</v>
      </c>
      <c r="BQ29" s="537">
        <f t="shared" si="8"/>
        <v>60</v>
      </c>
      <c r="BR29" s="537">
        <f t="shared" si="8"/>
        <v>61</v>
      </c>
      <c r="BS29" s="537">
        <f t="shared" si="8"/>
        <v>62</v>
      </c>
      <c r="BT29" s="537">
        <f t="shared" si="8"/>
        <v>63</v>
      </c>
      <c r="BU29" s="537">
        <f t="shared" si="8"/>
        <v>64</v>
      </c>
      <c r="BV29" s="537">
        <f t="shared" si="8"/>
        <v>65</v>
      </c>
      <c r="BW29" s="537">
        <f t="shared" si="8"/>
        <v>66</v>
      </c>
      <c r="BX29" s="537">
        <f t="shared" si="8"/>
        <v>67</v>
      </c>
      <c r="BY29" s="537">
        <f t="shared" si="8"/>
        <v>68</v>
      </c>
      <c r="BZ29" s="537">
        <f t="shared" si="8"/>
        <v>69</v>
      </c>
      <c r="CA29" s="537">
        <f t="shared" si="8"/>
        <v>70</v>
      </c>
      <c r="CB29" s="537">
        <f t="shared" si="8"/>
        <v>71</v>
      </c>
      <c r="CC29" s="537">
        <f t="shared" si="8"/>
        <v>72</v>
      </c>
      <c r="CD29" s="537">
        <f t="shared" si="8"/>
        <v>73</v>
      </c>
      <c r="CE29" s="537">
        <f t="shared" si="8"/>
        <v>74</v>
      </c>
      <c r="CF29" s="537">
        <f t="shared" si="8"/>
        <v>75</v>
      </c>
      <c r="CG29" s="537">
        <f t="shared" si="8"/>
        <v>76</v>
      </c>
      <c r="CH29" s="537">
        <f t="shared" si="8"/>
        <v>77</v>
      </c>
      <c r="CI29" s="537">
        <f t="shared" si="8"/>
        <v>78</v>
      </c>
      <c r="CJ29" s="537">
        <f t="shared" si="8"/>
        <v>79</v>
      </c>
      <c r="CK29" s="537">
        <f t="shared" si="8"/>
        <v>80</v>
      </c>
      <c r="CL29" s="537">
        <f t="shared" si="8"/>
        <v>81</v>
      </c>
      <c r="CM29" s="537">
        <f t="shared" si="8"/>
        <v>82</v>
      </c>
      <c r="CN29" s="537">
        <f t="shared" si="8"/>
        <v>83</v>
      </c>
      <c r="CO29" s="537">
        <f t="shared" si="8"/>
        <v>84</v>
      </c>
      <c r="CP29" s="537">
        <f t="shared" si="8"/>
        <v>85</v>
      </c>
      <c r="CQ29" s="537">
        <f t="shared" si="8"/>
        <v>86</v>
      </c>
      <c r="CR29" s="537">
        <f t="shared" si="8"/>
        <v>87</v>
      </c>
      <c r="CS29" s="537">
        <f t="shared" si="8"/>
        <v>88</v>
      </c>
      <c r="CT29" s="537">
        <f t="shared" si="8"/>
        <v>89</v>
      </c>
      <c r="CU29" s="537">
        <f t="shared" si="8"/>
        <v>90</v>
      </c>
      <c r="CV29" s="537">
        <f t="shared" si="8"/>
        <v>91</v>
      </c>
      <c r="CW29" s="537">
        <f t="shared" si="8"/>
        <v>92</v>
      </c>
      <c r="CX29" s="537">
        <f t="shared" si="8"/>
        <v>93</v>
      </c>
      <c r="CY29" s="537">
        <f t="shared" si="8"/>
        <v>94</v>
      </c>
      <c r="CZ29" s="537">
        <f t="shared" si="8"/>
        <v>95</v>
      </c>
      <c r="DA29" s="537">
        <f t="shared" si="8"/>
        <v>96</v>
      </c>
      <c r="DB29" s="537">
        <f t="shared" si="8"/>
        <v>97</v>
      </c>
      <c r="DC29" s="537">
        <f t="shared" si="8"/>
        <v>98</v>
      </c>
      <c r="DD29" s="537">
        <f t="shared" si="8"/>
        <v>99</v>
      </c>
      <c r="DE29" s="537">
        <f t="shared" si="8"/>
        <v>100</v>
      </c>
      <c r="DF29" s="537">
        <f t="shared" si="8"/>
        <v>101</v>
      </c>
      <c r="DG29" s="537">
        <f t="shared" si="8"/>
        <v>102</v>
      </c>
      <c r="DH29" s="537">
        <f t="shared" si="8"/>
        <v>103</v>
      </c>
      <c r="DI29" s="537">
        <f t="shared" si="8"/>
        <v>104</v>
      </c>
      <c r="DJ29" s="537">
        <f t="shared" si="8"/>
        <v>105</v>
      </c>
      <c r="DK29" s="537">
        <f t="shared" si="8"/>
        <v>106</v>
      </c>
      <c r="DL29" s="537">
        <f t="shared" si="8"/>
        <v>107</v>
      </c>
      <c r="DM29" s="537">
        <f t="shared" si="8"/>
        <v>108</v>
      </c>
      <c r="DN29" s="537">
        <f t="shared" si="8"/>
        <v>109</v>
      </c>
      <c r="DO29" s="537">
        <f t="shared" si="8"/>
        <v>110</v>
      </c>
      <c r="DP29" s="537">
        <f t="shared" si="8"/>
        <v>111</v>
      </c>
      <c r="DQ29" s="537">
        <f t="shared" si="8"/>
        <v>112</v>
      </c>
      <c r="DR29" s="537">
        <f t="shared" si="8"/>
        <v>113</v>
      </c>
      <c r="DS29" s="537">
        <f t="shared" si="8"/>
        <v>114</v>
      </c>
      <c r="DT29" s="537">
        <f t="shared" si="8"/>
        <v>115</v>
      </c>
      <c r="DU29" s="537">
        <f t="shared" si="8"/>
        <v>116</v>
      </c>
      <c r="DV29" s="537">
        <f t="shared" si="8"/>
        <v>117</v>
      </c>
      <c r="DW29" s="537">
        <f t="shared" si="8"/>
        <v>118</v>
      </c>
      <c r="DX29" s="537">
        <f t="shared" si="8"/>
        <v>119</v>
      </c>
      <c r="DY29" s="537">
        <f t="shared" si="8"/>
        <v>120</v>
      </c>
      <c r="DZ29" s="537">
        <f t="shared" si="8"/>
        <v>121</v>
      </c>
      <c r="EA29" s="537">
        <f t="shared" si="8"/>
        <v>122</v>
      </c>
      <c r="EB29" s="537">
        <f t="shared" si="8"/>
        <v>123</v>
      </c>
      <c r="EC29" s="537">
        <f t="shared" si="8"/>
        <v>124</v>
      </c>
      <c r="ED29" s="537">
        <f t="shared" si="8"/>
        <v>125</v>
      </c>
      <c r="EE29" s="537">
        <f t="shared" si="8"/>
        <v>126</v>
      </c>
      <c r="EF29" s="537">
        <f t="shared" si="8"/>
        <v>127</v>
      </c>
      <c r="EG29" s="537">
        <f t="shared" si="8"/>
        <v>128</v>
      </c>
      <c r="EH29" s="537">
        <f t="shared" si="8"/>
        <v>129</v>
      </c>
      <c r="EI29" s="537">
        <f t="shared" si="8"/>
        <v>130</v>
      </c>
      <c r="EJ29" s="537">
        <f t="shared" si="8"/>
        <v>131</v>
      </c>
      <c r="EK29" s="537">
        <f t="shared" si="8"/>
        <v>132</v>
      </c>
      <c r="EL29" s="537">
        <f t="shared" si="8"/>
        <v>133</v>
      </c>
      <c r="EM29" s="537">
        <f t="shared" si="8"/>
        <v>134</v>
      </c>
      <c r="EN29" s="537">
        <f t="shared" si="8"/>
        <v>135</v>
      </c>
      <c r="EO29" s="537">
        <f t="shared" si="8"/>
        <v>136</v>
      </c>
      <c r="EP29" s="537">
        <f t="shared" si="8"/>
        <v>137</v>
      </c>
      <c r="EQ29" s="537">
        <f t="shared" si="8"/>
        <v>138</v>
      </c>
      <c r="ER29" s="537">
        <f t="shared" si="8"/>
        <v>139</v>
      </c>
      <c r="ES29" s="537">
        <f t="shared" si="8"/>
        <v>140</v>
      </c>
      <c r="ET29" s="537">
        <f t="shared" si="8"/>
        <v>141</v>
      </c>
      <c r="EU29" s="537">
        <f t="shared" si="8"/>
        <v>142</v>
      </c>
      <c r="EV29" s="537">
        <f t="shared" si="8"/>
        <v>143</v>
      </c>
      <c r="EW29" s="537">
        <f t="shared" si="8"/>
        <v>144</v>
      </c>
      <c r="EX29" s="537">
        <f t="shared" si="8"/>
        <v>145</v>
      </c>
      <c r="EY29" s="537">
        <f t="shared" si="8"/>
        <v>146</v>
      </c>
      <c r="EZ29" s="537">
        <f t="shared" si="8"/>
        <v>147</v>
      </c>
      <c r="FA29" s="537">
        <f t="shared" si="8"/>
        <v>148</v>
      </c>
      <c r="FB29" s="537">
        <f t="shared" si="8"/>
        <v>149</v>
      </c>
      <c r="FC29" s="537">
        <f t="shared" si="8"/>
        <v>150</v>
      </c>
      <c r="FD29" s="537">
        <f t="shared" si="8"/>
        <v>151</v>
      </c>
      <c r="FE29" s="537">
        <f t="shared" si="8"/>
        <v>152</v>
      </c>
      <c r="FF29" s="537">
        <f t="shared" si="8"/>
        <v>153</v>
      </c>
      <c r="FG29" s="537">
        <f t="shared" si="8"/>
        <v>154</v>
      </c>
      <c r="FH29" s="537">
        <f t="shared" si="8"/>
        <v>155</v>
      </c>
      <c r="FI29" s="537">
        <f t="shared" si="8"/>
        <v>156</v>
      </c>
      <c r="FJ29" s="537">
        <f t="shared" si="8"/>
        <v>157</v>
      </c>
      <c r="FK29" s="537">
        <f t="shared" si="8"/>
        <v>158</v>
      </c>
      <c r="FL29" s="537">
        <f t="shared" si="8"/>
        <v>159</v>
      </c>
      <c r="FM29" s="537">
        <f t="shared" si="8"/>
        <v>160</v>
      </c>
      <c r="FN29" s="537">
        <f t="shared" si="8"/>
        <v>161</v>
      </c>
      <c r="FO29" s="537">
        <f t="shared" si="8"/>
        <v>162</v>
      </c>
      <c r="FP29" s="537">
        <f t="shared" si="8"/>
        <v>163</v>
      </c>
      <c r="FQ29" s="537">
        <f t="shared" si="8"/>
        <v>164</v>
      </c>
      <c r="FR29" s="537">
        <f t="shared" si="8"/>
        <v>165</v>
      </c>
      <c r="FS29" s="537">
        <f t="shared" si="8"/>
        <v>166</v>
      </c>
      <c r="FT29" s="537">
        <f t="shared" si="8"/>
        <v>167</v>
      </c>
      <c r="FU29" s="537">
        <f t="shared" si="8"/>
        <v>168</v>
      </c>
      <c r="FV29" s="537">
        <f t="shared" si="8"/>
        <v>169</v>
      </c>
      <c r="FW29" s="537">
        <f t="shared" si="8"/>
        <v>170</v>
      </c>
      <c r="FX29" s="537">
        <f t="shared" si="8"/>
        <v>171</v>
      </c>
      <c r="FY29" s="537">
        <f t="shared" si="8"/>
        <v>172</v>
      </c>
      <c r="FZ29" s="537">
        <f t="shared" si="8"/>
        <v>173</v>
      </c>
      <c r="GA29" s="537">
        <f t="shared" si="8"/>
        <v>174</v>
      </c>
      <c r="GB29" s="537">
        <f t="shared" si="8"/>
        <v>175</v>
      </c>
      <c r="GC29" s="537">
        <f t="shared" si="8"/>
        <v>176</v>
      </c>
      <c r="GD29" s="537">
        <f t="shared" si="8"/>
        <v>177</v>
      </c>
      <c r="GE29" s="537">
        <f t="shared" si="8"/>
        <v>178</v>
      </c>
      <c r="GF29" s="537">
        <f t="shared" si="8"/>
        <v>179</v>
      </c>
      <c r="GG29" s="537">
        <f t="shared" si="8"/>
        <v>180</v>
      </c>
      <c r="GH29" s="537">
        <f t="shared" si="8"/>
        <v>181</v>
      </c>
      <c r="GI29" s="537">
        <f t="shared" si="8"/>
        <v>182</v>
      </c>
      <c r="GJ29" s="537">
        <f t="shared" si="8"/>
        <v>183</v>
      </c>
    </row>
    <row r="30" spans="5:192" ht="12.75">
      <c r="E30" s="535" t="s">
        <v>54</v>
      </c>
      <c r="G30" s="537" t="s">
        <v>50</v>
      </c>
      <c r="H30" s="537">
        <f>SUM(J30:GJ30)</f>
        <v>30</v>
      </c>
      <c r="J30" s="537">
        <f t="shared" si="9" ref="J30:GJ30">IF($F28&gt;=J29,1,0)</f>
        <v>1</v>
      </c>
      <c r="K30" s="537">
        <f t="shared" si="9"/>
        <v>1</v>
      </c>
      <c r="L30" s="537">
        <f t="shared" si="9"/>
        <v>1</v>
      </c>
      <c r="M30" s="537">
        <f t="shared" si="9"/>
        <v>1</v>
      </c>
      <c r="N30" s="537">
        <f t="shared" si="9"/>
        <v>1</v>
      </c>
      <c r="O30" s="537">
        <f t="shared" si="9"/>
        <v>1</v>
      </c>
      <c r="P30" s="537">
        <f t="shared" si="9"/>
        <v>1</v>
      </c>
      <c r="Q30" s="537">
        <f t="shared" si="9"/>
        <v>1</v>
      </c>
      <c r="R30" s="537">
        <f t="shared" si="9"/>
        <v>1</v>
      </c>
      <c r="S30" s="537">
        <f t="shared" si="9"/>
        <v>1</v>
      </c>
      <c r="T30" s="537">
        <f t="shared" si="9"/>
        <v>1</v>
      </c>
      <c r="U30" s="537">
        <f t="shared" si="9"/>
        <v>1</v>
      </c>
      <c r="V30" s="537">
        <f t="shared" si="9"/>
        <v>1</v>
      </c>
      <c r="W30" s="537">
        <f t="shared" si="9"/>
        <v>1</v>
      </c>
      <c r="X30" s="537">
        <f t="shared" si="9"/>
        <v>1</v>
      </c>
      <c r="Y30" s="537">
        <f t="shared" si="9"/>
        <v>1</v>
      </c>
      <c r="Z30" s="537">
        <f t="shared" si="9"/>
        <v>1</v>
      </c>
      <c r="AA30" s="537">
        <f t="shared" si="9"/>
        <v>1</v>
      </c>
      <c r="AB30" s="537">
        <f t="shared" si="9"/>
        <v>1</v>
      </c>
      <c r="AC30" s="537">
        <f t="shared" si="9"/>
        <v>1</v>
      </c>
      <c r="AD30" s="537">
        <f t="shared" si="9"/>
        <v>1</v>
      </c>
      <c r="AE30" s="537">
        <f t="shared" si="9"/>
        <v>1</v>
      </c>
      <c r="AF30" s="537">
        <f t="shared" si="9"/>
        <v>1</v>
      </c>
      <c r="AG30" s="537">
        <f t="shared" si="9"/>
        <v>1</v>
      </c>
      <c r="AH30" s="537">
        <f t="shared" si="9"/>
        <v>1</v>
      </c>
      <c r="AI30" s="537">
        <f t="shared" si="9"/>
        <v>1</v>
      </c>
      <c r="AJ30" s="537">
        <f t="shared" si="9"/>
        <v>1</v>
      </c>
      <c r="AK30" s="537">
        <f t="shared" si="9"/>
        <v>1</v>
      </c>
      <c r="AL30" s="537">
        <f t="shared" si="9"/>
        <v>1</v>
      </c>
      <c r="AM30" s="537">
        <f t="shared" si="9"/>
        <v>1</v>
      </c>
      <c r="AN30" s="537">
        <f t="shared" si="9"/>
        <v>0</v>
      </c>
      <c r="AO30" s="537">
        <f t="shared" si="9"/>
        <v>0</v>
      </c>
      <c r="AP30" s="537">
        <f t="shared" si="9"/>
        <v>0</v>
      </c>
      <c r="AQ30" s="537">
        <f t="shared" si="9"/>
        <v>0</v>
      </c>
      <c r="AR30" s="537">
        <f t="shared" si="9"/>
        <v>0</v>
      </c>
      <c r="AS30" s="537">
        <f t="shared" si="9"/>
        <v>0</v>
      </c>
      <c r="AT30" s="537">
        <f t="shared" si="9"/>
        <v>0</v>
      </c>
      <c r="AU30" s="537">
        <f t="shared" si="9"/>
        <v>0</v>
      </c>
      <c r="AV30" s="537">
        <f t="shared" si="9"/>
        <v>0</v>
      </c>
      <c r="AW30" s="537">
        <f t="shared" si="9"/>
        <v>0</v>
      </c>
      <c r="AX30" s="537">
        <f t="shared" si="9"/>
        <v>0</v>
      </c>
      <c r="AY30" s="537">
        <f t="shared" si="9"/>
        <v>0</v>
      </c>
      <c r="AZ30" s="537">
        <f t="shared" si="9"/>
        <v>0</v>
      </c>
      <c r="BA30" s="537">
        <f t="shared" si="9"/>
        <v>0</v>
      </c>
      <c r="BB30" s="537">
        <f t="shared" si="9"/>
        <v>0</v>
      </c>
      <c r="BC30" s="537">
        <f t="shared" si="9"/>
        <v>0</v>
      </c>
      <c r="BD30" s="537">
        <f t="shared" si="9"/>
        <v>0</v>
      </c>
      <c r="BE30" s="537">
        <f t="shared" si="9"/>
        <v>0</v>
      </c>
      <c r="BF30" s="537">
        <f t="shared" si="9"/>
        <v>0</v>
      </c>
      <c r="BG30" s="537">
        <f t="shared" si="9"/>
        <v>0</v>
      </c>
      <c r="BH30" s="537">
        <f t="shared" si="9"/>
        <v>0</v>
      </c>
      <c r="BI30" s="537">
        <f t="shared" si="9"/>
        <v>0</v>
      </c>
      <c r="BJ30" s="537">
        <f t="shared" si="9"/>
        <v>0</v>
      </c>
      <c r="BK30" s="537">
        <f t="shared" si="9"/>
        <v>0</v>
      </c>
      <c r="BL30" s="537">
        <f t="shared" si="9"/>
        <v>0</v>
      </c>
      <c r="BM30" s="537">
        <f t="shared" si="9"/>
        <v>0</v>
      </c>
      <c r="BN30" s="537">
        <f t="shared" si="9"/>
        <v>0</v>
      </c>
      <c r="BO30" s="537">
        <f t="shared" si="9"/>
        <v>0</v>
      </c>
      <c r="BP30" s="537">
        <f t="shared" si="9"/>
        <v>0</v>
      </c>
      <c r="BQ30" s="537">
        <f t="shared" si="9"/>
        <v>0</v>
      </c>
      <c r="BR30" s="537">
        <f t="shared" si="9"/>
        <v>0</v>
      </c>
      <c r="BS30" s="537">
        <f t="shared" si="9"/>
        <v>0</v>
      </c>
      <c r="BT30" s="537">
        <f t="shared" si="9"/>
        <v>0</v>
      </c>
      <c r="BU30" s="537">
        <f t="shared" si="9"/>
        <v>0</v>
      </c>
      <c r="BV30" s="537">
        <f t="shared" si="9"/>
        <v>0</v>
      </c>
      <c r="BW30" s="537">
        <f t="shared" si="9"/>
        <v>0</v>
      </c>
      <c r="BX30" s="537">
        <f t="shared" si="9"/>
        <v>0</v>
      </c>
      <c r="BY30" s="537">
        <f t="shared" si="9"/>
        <v>0</v>
      </c>
      <c r="BZ30" s="537">
        <f t="shared" si="9"/>
        <v>0</v>
      </c>
      <c r="CA30" s="537">
        <f t="shared" si="9"/>
        <v>0</v>
      </c>
      <c r="CB30" s="537">
        <f t="shared" si="9"/>
        <v>0</v>
      </c>
      <c r="CC30" s="537">
        <f t="shared" si="9"/>
        <v>0</v>
      </c>
      <c r="CD30" s="537">
        <f t="shared" si="9"/>
        <v>0</v>
      </c>
      <c r="CE30" s="537">
        <f t="shared" si="9"/>
        <v>0</v>
      </c>
      <c r="CF30" s="537">
        <f t="shared" si="9"/>
        <v>0</v>
      </c>
      <c r="CG30" s="537">
        <f t="shared" si="9"/>
        <v>0</v>
      </c>
      <c r="CH30" s="537">
        <f t="shared" si="9"/>
        <v>0</v>
      </c>
      <c r="CI30" s="537">
        <f t="shared" si="9"/>
        <v>0</v>
      </c>
      <c r="CJ30" s="537">
        <f t="shared" si="9"/>
        <v>0</v>
      </c>
      <c r="CK30" s="537">
        <f t="shared" si="9"/>
        <v>0</v>
      </c>
      <c r="CL30" s="537">
        <f t="shared" si="9"/>
        <v>0</v>
      </c>
      <c r="CM30" s="537">
        <f t="shared" si="9"/>
        <v>0</v>
      </c>
      <c r="CN30" s="537">
        <f t="shared" si="9"/>
        <v>0</v>
      </c>
      <c r="CO30" s="537">
        <f t="shared" si="9"/>
        <v>0</v>
      </c>
      <c r="CP30" s="537">
        <f t="shared" si="9"/>
        <v>0</v>
      </c>
      <c r="CQ30" s="537">
        <f t="shared" si="9"/>
        <v>0</v>
      </c>
      <c r="CR30" s="537">
        <f t="shared" si="9"/>
        <v>0</v>
      </c>
      <c r="CS30" s="537">
        <f t="shared" si="9"/>
        <v>0</v>
      </c>
      <c r="CT30" s="537">
        <f t="shared" si="9"/>
        <v>0</v>
      </c>
      <c r="CU30" s="537">
        <f t="shared" si="9"/>
        <v>0</v>
      </c>
      <c r="CV30" s="537">
        <f t="shared" si="9"/>
        <v>0</v>
      </c>
      <c r="CW30" s="537">
        <f t="shared" si="9"/>
        <v>0</v>
      </c>
      <c r="CX30" s="537">
        <f t="shared" si="9"/>
        <v>0</v>
      </c>
      <c r="CY30" s="537">
        <f t="shared" si="9"/>
        <v>0</v>
      </c>
      <c r="CZ30" s="537">
        <f t="shared" si="9"/>
        <v>0</v>
      </c>
      <c r="DA30" s="537">
        <f t="shared" si="9"/>
        <v>0</v>
      </c>
      <c r="DB30" s="537">
        <f t="shared" si="9"/>
        <v>0</v>
      </c>
      <c r="DC30" s="537">
        <f t="shared" si="9"/>
        <v>0</v>
      </c>
      <c r="DD30" s="537">
        <f t="shared" si="9"/>
        <v>0</v>
      </c>
      <c r="DE30" s="537">
        <f t="shared" si="9"/>
        <v>0</v>
      </c>
      <c r="DF30" s="537">
        <f t="shared" si="9"/>
        <v>0</v>
      </c>
      <c r="DG30" s="537">
        <f t="shared" si="9"/>
        <v>0</v>
      </c>
      <c r="DH30" s="537">
        <f t="shared" si="9"/>
        <v>0</v>
      </c>
      <c r="DI30" s="537">
        <f t="shared" si="9"/>
        <v>0</v>
      </c>
      <c r="DJ30" s="537">
        <f t="shared" si="9"/>
        <v>0</v>
      </c>
      <c r="DK30" s="537">
        <f t="shared" si="9"/>
        <v>0</v>
      </c>
      <c r="DL30" s="537">
        <f t="shared" si="9"/>
        <v>0</v>
      </c>
      <c r="DM30" s="537">
        <f t="shared" si="9"/>
        <v>0</v>
      </c>
      <c r="DN30" s="537">
        <f t="shared" si="9"/>
        <v>0</v>
      </c>
      <c r="DO30" s="537">
        <f t="shared" si="9"/>
        <v>0</v>
      </c>
      <c r="DP30" s="537">
        <f t="shared" si="9"/>
        <v>0</v>
      </c>
      <c r="DQ30" s="537">
        <f t="shared" si="9"/>
        <v>0</v>
      </c>
      <c r="DR30" s="537">
        <f t="shared" si="9"/>
        <v>0</v>
      </c>
      <c r="DS30" s="537">
        <f t="shared" si="9"/>
        <v>0</v>
      </c>
      <c r="DT30" s="537">
        <f t="shared" si="9"/>
        <v>0</v>
      </c>
      <c r="DU30" s="537">
        <f t="shared" si="9"/>
        <v>0</v>
      </c>
      <c r="DV30" s="537">
        <f t="shared" si="9"/>
        <v>0</v>
      </c>
      <c r="DW30" s="537">
        <f t="shared" si="9"/>
        <v>0</v>
      </c>
      <c r="DX30" s="537">
        <f t="shared" si="9"/>
        <v>0</v>
      </c>
      <c r="DY30" s="537">
        <f t="shared" si="9"/>
        <v>0</v>
      </c>
      <c r="DZ30" s="537">
        <f t="shared" si="9"/>
        <v>0</v>
      </c>
      <c r="EA30" s="537">
        <f t="shared" si="9"/>
        <v>0</v>
      </c>
      <c r="EB30" s="537">
        <f t="shared" si="9"/>
        <v>0</v>
      </c>
      <c r="EC30" s="537">
        <f t="shared" si="9"/>
        <v>0</v>
      </c>
      <c r="ED30" s="537">
        <f t="shared" si="9"/>
        <v>0</v>
      </c>
      <c r="EE30" s="537">
        <f t="shared" si="9"/>
        <v>0</v>
      </c>
      <c r="EF30" s="537">
        <f t="shared" si="9"/>
        <v>0</v>
      </c>
      <c r="EG30" s="537">
        <f t="shared" si="9"/>
        <v>0</v>
      </c>
      <c r="EH30" s="537">
        <f t="shared" si="9"/>
        <v>0</v>
      </c>
      <c r="EI30" s="537">
        <f t="shared" si="9"/>
        <v>0</v>
      </c>
      <c r="EJ30" s="537">
        <f t="shared" si="9"/>
        <v>0</v>
      </c>
      <c r="EK30" s="537">
        <f t="shared" si="9"/>
        <v>0</v>
      </c>
      <c r="EL30" s="537">
        <f t="shared" si="9"/>
        <v>0</v>
      </c>
      <c r="EM30" s="537">
        <f t="shared" si="9"/>
        <v>0</v>
      </c>
      <c r="EN30" s="537">
        <f t="shared" si="9"/>
        <v>0</v>
      </c>
      <c r="EO30" s="537">
        <f t="shared" si="9"/>
        <v>0</v>
      </c>
      <c r="EP30" s="537">
        <f t="shared" si="9"/>
        <v>0</v>
      </c>
      <c r="EQ30" s="537">
        <f t="shared" si="9"/>
        <v>0</v>
      </c>
      <c r="ER30" s="537">
        <f t="shared" si="9"/>
        <v>0</v>
      </c>
      <c r="ES30" s="537">
        <f t="shared" si="9"/>
        <v>0</v>
      </c>
      <c r="ET30" s="537">
        <f t="shared" si="9"/>
        <v>0</v>
      </c>
      <c r="EU30" s="537">
        <f t="shared" si="9"/>
        <v>0</v>
      </c>
      <c r="EV30" s="537">
        <f t="shared" si="9"/>
        <v>0</v>
      </c>
      <c r="EW30" s="537">
        <f t="shared" si="9"/>
        <v>0</v>
      </c>
      <c r="EX30" s="537">
        <f t="shared" si="9"/>
        <v>0</v>
      </c>
      <c r="EY30" s="537">
        <f t="shared" si="9"/>
        <v>0</v>
      </c>
      <c r="EZ30" s="537">
        <f t="shared" si="9"/>
        <v>0</v>
      </c>
      <c r="FA30" s="537">
        <f t="shared" si="9"/>
        <v>0</v>
      </c>
      <c r="FB30" s="537">
        <f t="shared" si="9"/>
        <v>0</v>
      </c>
      <c r="FC30" s="537">
        <f t="shared" si="9"/>
        <v>0</v>
      </c>
      <c r="FD30" s="537">
        <f t="shared" si="9"/>
        <v>0</v>
      </c>
      <c r="FE30" s="537">
        <f t="shared" si="9"/>
        <v>0</v>
      </c>
      <c r="FF30" s="537">
        <f t="shared" si="9"/>
        <v>0</v>
      </c>
      <c r="FG30" s="537">
        <f t="shared" si="9"/>
        <v>0</v>
      </c>
      <c r="FH30" s="537">
        <f t="shared" si="9"/>
        <v>0</v>
      </c>
      <c r="FI30" s="537">
        <f t="shared" si="9"/>
        <v>0</v>
      </c>
      <c r="FJ30" s="537">
        <f t="shared" si="9"/>
        <v>0</v>
      </c>
      <c r="FK30" s="537">
        <f t="shared" si="9"/>
        <v>0</v>
      </c>
      <c r="FL30" s="537">
        <f t="shared" si="9"/>
        <v>0</v>
      </c>
      <c r="FM30" s="537">
        <f t="shared" si="9"/>
        <v>0</v>
      </c>
      <c r="FN30" s="537">
        <f t="shared" si="9"/>
        <v>0</v>
      </c>
      <c r="FO30" s="537">
        <f t="shared" si="9"/>
        <v>0</v>
      </c>
      <c r="FP30" s="537">
        <f t="shared" si="9"/>
        <v>0</v>
      </c>
      <c r="FQ30" s="537">
        <f t="shared" si="9"/>
        <v>0</v>
      </c>
      <c r="FR30" s="537">
        <f t="shared" si="9"/>
        <v>0</v>
      </c>
      <c r="FS30" s="537">
        <f t="shared" si="9"/>
        <v>0</v>
      </c>
      <c r="FT30" s="537">
        <f t="shared" si="9"/>
        <v>0</v>
      </c>
      <c r="FU30" s="537">
        <f t="shared" si="9"/>
        <v>0</v>
      </c>
      <c r="FV30" s="537">
        <f t="shared" si="9"/>
        <v>0</v>
      </c>
      <c r="FW30" s="537">
        <f t="shared" si="9"/>
        <v>0</v>
      </c>
      <c r="FX30" s="537">
        <f t="shared" si="9"/>
        <v>0</v>
      </c>
      <c r="FY30" s="537">
        <f t="shared" si="9"/>
        <v>0</v>
      </c>
      <c r="FZ30" s="537">
        <f t="shared" si="9"/>
        <v>0</v>
      </c>
      <c r="GA30" s="537">
        <f t="shared" si="9"/>
        <v>0</v>
      </c>
      <c r="GB30" s="537">
        <f t="shared" si="9"/>
        <v>0</v>
      </c>
      <c r="GC30" s="537">
        <f t="shared" si="9"/>
        <v>0</v>
      </c>
      <c r="GD30" s="537">
        <f t="shared" si="9"/>
        <v>0</v>
      </c>
      <c r="GE30" s="537">
        <f t="shared" si="9"/>
        <v>0</v>
      </c>
      <c r="GF30" s="537">
        <f t="shared" si="9"/>
        <v>0</v>
      </c>
      <c r="GG30" s="537">
        <f t="shared" si="9"/>
        <v>0</v>
      </c>
      <c r="GH30" s="537">
        <f t="shared" si="9"/>
        <v>0</v>
      </c>
      <c r="GI30" s="537">
        <f t="shared" si="9"/>
        <v>0</v>
      </c>
      <c r="GJ30" s="537">
        <f t="shared" si="9"/>
        <v>0</v>
      </c>
    </row>
    <row r="32" spans="5:192" ht="12.75">
      <c r="E32" s="535" t="str">
        <f>E$30</f>
        <v>Construction grain period flag</v>
      </c>
      <c r="G32" s="537" t="str">
        <f>G$30</f>
        <v>flag</v>
      </c>
      <c r="H32" s="537">
        <f>H$30</f>
        <v>30</v>
      </c>
      <c r="J32" s="537">
        <f t="shared" si="10" ref="J32:GJ32">J$30</f>
        <v>1</v>
      </c>
      <c r="K32" s="537">
        <f t="shared" si="10"/>
        <v>1</v>
      </c>
      <c r="L32" s="537">
        <f t="shared" si="10"/>
        <v>1</v>
      </c>
      <c r="M32" s="537">
        <f t="shared" si="10"/>
        <v>1</v>
      </c>
      <c r="N32" s="537">
        <f t="shared" si="10"/>
        <v>1</v>
      </c>
      <c r="O32" s="537">
        <f t="shared" si="10"/>
        <v>1</v>
      </c>
      <c r="P32" s="537">
        <f t="shared" si="10"/>
        <v>1</v>
      </c>
      <c r="Q32" s="537">
        <f t="shared" si="10"/>
        <v>1</v>
      </c>
      <c r="R32" s="537">
        <f t="shared" si="10"/>
        <v>1</v>
      </c>
      <c r="S32" s="537">
        <f t="shared" si="10"/>
        <v>1</v>
      </c>
      <c r="T32" s="537">
        <f t="shared" si="10"/>
        <v>1</v>
      </c>
      <c r="U32" s="537">
        <f t="shared" si="10"/>
        <v>1</v>
      </c>
      <c r="V32" s="537">
        <f t="shared" si="10"/>
        <v>1</v>
      </c>
      <c r="W32" s="537">
        <f t="shared" si="10"/>
        <v>1</v>
      </c>
      <c r="X32" s="537">
        <f t="shared" si="10"/>
        <v>1</v>
      </c>
      <c r="Y32" s="537">
        <f t="shared" si="10"/>
        <v>1</v>
      </c>
      <c r="Z32" s="537">
        <f t="shared" si="10"/>
        <v>1</v>
      </c>
      <c r="AA32" s="537">
        <f t="shared" si="10"/>
        <v>1</v>
      </c>
      <c r="AB32" s="537">
        <f t="shared" si="10"/>
        <v>1</v>
      </c>
      <c r="AC32" s="537">
        <f t="shared" si="10"/>
        <v>1</v>
      </c>
      <c r="AD32" s="537">
        <f t="shared" si="10"/>
        <v>1</v>
      </c>
      <c r="AE32" s="537">
        <f t="shared" si="10"/>
        <v>1</v>
      </c>
      <c r="AF32" s="537">
        <f t="shared" si="10"/>
        <v>1</v>
      </c>
      <c r="AG32" s="537">
        <f t="shared" si="10"/>
        <v>1</v>
      </c>
      <c r="AH32" s="537">
        <f t="shared" si="10"/>
        <v>1</v>
      </c>
      <c r="AI32" s="537">
        <f t="shared" si="10"/>
        <v>1</v>
      </c>
      <c r="AJ32" s="537">
        <f t="shared" si="10"/>
        <v>1</v>
      </c>
      <c r="AK32" s="537">
        <f t="shared" si="10"/>
        <v>1</v>
      </c>
      <c r="AL32" s="537">
        <f t="shared" si="10"/>
        <v>1</v>
      </c>
      <c r="AM32" s="537">
        <f t="shared" si="10"/>
        <v>1</v>
      </c>
      <c r="AN32" s="537">
        <f t="shared" si="10"/>
        <v>0</v>
      </c>
      <c r="AO32" s="537">
        <f t="shared" si="10"/>
        <v>0</v>
      </c>
      <c r="AP32" s="537">
        <f t="shared" si="10"/>
        <v>0</v>
      </c>
      <c r="AQ32" s="537">
        <f t="shared" si="10"/>
        <v>0</v>
      </c>
      <c r="AR32" s="537">
        <f t="shared" si="10"/>
        <v>0</v>
      </c>
      <c r="AS32" s="537">
        <f t="shared" si="10"/>
        <v>0</v>
      </c>
      <c r="AT32" s="537">
        <f t="shared" si="10"/>
        <v>0</v>
      </c>
      <c r="AU32" s="537">
        <f t="shared" si="10"/>
        <v>0</v>
      </c>
      <c r="AV32" s="537">
        <f t="shared" si="10"/>
        <v>0</v>
      </c>
      <c r="AW32" s="537">
        <f t="shared" si="10"/>
        <v>0</v>
      </c>
      <c r="AX32" s="537">
        <f t="shared" si="10"/>
        <v>0</v>
      </c>
      <c r="AY32" s="537">
        <f t="shared" si="10"/>
        <v>0</v>
      </c>
      <c r="AZ32" s="537">
        <f t="shared" si="10"/>
        <v>0</v>
      </c>
      <c r="BA32" s="537">
        <f t="shared" si="10"/>
        <v>0</v>
      </c>
      <c r="BB32" s="537">
        <f t="shared" si="10"/>
        <v>0</v>
      </c>
      <c r="BC32" s="537">
        <f t="shared" si="10"/>
        <v>0</v>
      </c>
      <c r="BD32" s="537">
        <f t="shared" si="10"/>
        <v>0</v>
      </c>
      <c r="BE32" s="537">
        <f t="shared" si="10"/>
        <v>0</v>
      </c>
      <c r="BF32" s="537">
        <f t="shared" si="10"/>
        <v>0</v>
      </c>
      <c r="BG32" s="537">
        <f t="shared" si="10"/>
        <v>0</v>
      </c>
      <c r="BH32" s="537">
        <f t="shared" si="10"/>
        <v>0</v>
      </c>
      <c r="BI32" s="537">
        <f t="shared" si="10"/>
        <v>0</v>
      </c>
      <c r="BJ32" s="537">
        <f t="shared" si="10"/>
        <v>0</v>
      </c>
      <c r="BK32" s="537">
        <f t="shared" si="10"/>
        <v>0</v>
      </c>
      <c r="BL32" s="537">
        <f t="shared" si="10"/>
        <v>0</v>
      </c>
      <c r="BM32" s="537">
        <f t="shared" si="10"/>
        <v>0</v>
      </c>
      <c r="BN32" s="537">
        <f t="shared" si="10"/>
        <v>0</v>
      </c>
      <c r="BO32" s="537">
        <f t="shared" si="10"/>
        <v>0</v>
      </c>
      <c r="BP32" s="537">
        <f t="shared" si="10"/>
        <v>0</v>
      </c>
      <c r="BQ32" s="537">
        <f t="shared" si="10"/>
        <v>0</v>
      </c>
      <c r="BR32" s="537">
        <f t="shared" si="10"/>
        <v>0</v>
      </c>
      <c r="BS32" s="537">
        <f t="shared" si="10"/>
        <v>0</v>
      </c>
      <c r="BT32" s="537">
        <f t="shared" si="10"/>
        <v>0</v>
      </c>
      <c r="BU32" s="537">
        <f t="shared" si="10"/>
        <v>0</v>
      </c>
      <c r="BV32" s="537">
        <f t="shared" si="10"/>
        <v>0</v>
      </c>
      <c r="BW32" s="537">
        <f t="shared" si="10"/>
        <v>0</v>
      </c>
      <c r="BX32" s="537">
        <f t="shared" si="10"/>
        <v>0</v>
      </c>
      <c r="BY32" s="537">
        <f t="shared" si="10"/>
        <v>0</v>
      </c>
      <c r="BZ32" s="537">
        <f t="shared" si="10"/>
        <v>0</v>
      </c>
      <c r="CA32" s="537">
        <f t="shared" si="10"/>
        <v>0</v>
      </c>
      <c r="CB32" s="537">
        <f t="shared" si="10"/>
        <v>0</v>
      </c>
      <c r="CC32" s="537">
        <f t="shared" si="10"/>
        <v>0</v>
      </c>
      <c r="CD32" s="537">
        <f t="shared" si="10"/>
        <v>0</v>
      </c>
      <c r="CE32" s="537">
        <f t="shared" si="10"/>
        <v>0</v>
      </c>
      <c r="CF32" s="537">
        <f t="shared" si="10"/>
        <v>0</v>
      </c>
      <c r="CG32" s="537">
        <f t="shared" si="10"/>
        <v>0</v>
      </c>
      <c r="CH32" s="537">
        <f t="shared" si="10"/>
        <v>0</v>
      </c>
      <c r="CI32" s="537">
        <f t="shared" si="10"/>
        <v>0</v>
      </c>
      <c r="CJ32" s="537">
        <f t="shared" si="10"/>
        <v>0</v>
      </c>
      <c r="CK32" s="537">
        <f t="shared" si="10"/>
        <v>0</v>
      </c>
      <c r="CL32" s="537">
        <f t="shared" si="10"/>
        <v>0</v>
      </c>
      <c r="CM32" s="537">
        <f t="shared" si="10"/>
        <v>0</v>
      </c>
      <c r="CN32" s="537">
        <f t="shared" si="10"/>
        <v>0</v>
      </c>
      <c r="CO32" s="537">
        <f t="shared" si="10"/>
        <v>0</v>
      </c>
      <c r="CP32" s="537">
        <f t="shared" si="10"/>
        <v>0</v>
      </c>
      <c r="CQ32" s="537">
        <f t="shared" si="10"/>
        <v>0</v>
      </c>
      <c r="CR32" s="537">
        <f t="shared" si="10"/>
        <v>0</v>
      </c>
      <c r="CS32" s="537">
        <f t="shared" si="10"/>
        <v>0</v>
      </c>
      <c r="CT32" s="537">
        <f t="shared" si="10"/>
        <v>0</v>
      </c>
      <c r="CU32" s="537">
        <f t="shared" si="10"/>
        <v>0</v>
      </c>
      <c r="CV32" s="537">
        <f t="shared" si="10"/>
        <v>0</v>
      </c>
      <c r="CW32" s="537">
        <f t="shared" si="10"/>
        <v>0</v>
      </c>
      <c r="CX32" s="537">
        <f t="shared" si="10"/>
        <v>0</v>
      </c>
      <c r="CY32" s="537">
        <f t="shared" si="10"/>
        <v>0</v>
      </c>
      <c r="CZ32" s="537">
        <f t="shared" si="10"/>
        <v>0</v>
      </c>
      <c r="DA32" s="537">
        <f t="shared" si="10"/>
        <v>0</v>
      </c>
      <c r="DB32" s="537">
        <f t="shared" si="10"/>
        <v>0</v>
      </c>
      <c r="DC32" s="537">
        <f t="shared" si="10"/>
        <v>0</v>
      </c>
      <c r="DD32" s="537">
        <f t="shared" si="10"/>
        <v>0</v>
      </c>
      <c r="DE32" s="537">
        <f t="shared" si="10"/>
        <v>0</v>
      </c>
      <c r="DF32" s="537">
        <f t="shared" si="10"/>
        <v>0</v>
      </c>
      <c r="DG32" s="537">
        <f t="shared" si="10"/>
        <v>0</v>
      </c>
      <c r="DH32" s="537">
        <f t="shared" si="10"/>
        <v>0</v>
      </c>
      <c r="DI32" s="537">
        <f t="shared" si="10"/>
        <v>0</v>
      </c>
      <c r="DJ32" s="537">
        <f t="shared" si="10"/>
        <v>0</v>
      </c>
      <c r="DK32" s="537">
        <f t="shared" si="10"/>
        <v>0</v>
      </c>
      <c r="DL32" s="537">
        <f t="shared" si="10"/>
        <v>0</v>
      </c>
      <c r="DM32" s="537">
        <f t="shared" si="10"/>
        <v>0</v>
      </c>
      <c r="DN32" s="537">
        <f t="shared" si="10"/>
        <v>0</v>
      </c>
      <c r="DO32" s="537">
        <f t="shared" si="10"/>
        <v>0</v>
      </c>
      <c r="DP32" s="537">
        <f t="shared" si="10"/>
        <v>0</v>
      </c>
      <c r="DQ32" s="537">
        <f t="shared" si="10"/>
        <v>0</v>
      </c>
      <c r="DR32" s="537">
        <f t="shared" si="10"/>
        <v>0</v>
      </c>
      <c r="DS32" s="537">
        <f t="shared" si="10"/>
        <v>0</v>
      </c>
      <c r="DT32" s="537">
        <f t="shared" si="10"/>
        <v>0</v>
      </c>
      <c r="DU32" s="537">
        <f t="shared" si="10"/>
        <v>0</v>
      </c>
      <c r="DV32" s="537">
        <f t="shared" si="10"/>
        <v>0</v>
      </c>
      <c r="DW32" s="537">
        <f t="shared" si="10"/>
        <v>0</v>
      </c>
      <c r="DX32" s="537">
        <f t="shared" si="10"/>
        <v>0</v>
      </c>
      <c r="DY32" s="537">
        <f t="shared" si="10"/>
        <v>0</v>
      </c>
      <c r="DZ32" s="537">
        <f t="shared" si="10"/>
        <v>0</v>
      </c>
      <c r="EA32" s="537">
        <f t="shared" si="10"/>
        <v>0</v>
      </c>
      <c r="EB32" s="537">
        <f t="shared" si="10"/>
        <v>0</v>
      </c>
      <c r="EC32" s="537">
        <f t="shared" si="10"/>
        <v>0</v>
      </c>
      <c r="ED32" s="537">
        <f t="shared" si="10"/>
        <v>0</v>
      </c>
      <c r="EE32" s="537">
        <f t="shared" si="10"/>
        <v>0</v>
      </c>
      <c r="EF32" s="537">
        <f t="shared" si="10"/>
        <v>0</v>
      </c>
      <c r="EG32" s="537">
        <f t="shared" si="10"/>
        <v>0</v>
      </c>
      <c r="EH32" s="537">
        <f t="shared" si="10"/>
        <v>0</v>
      </c>
      <c r="EI32" s="537">
        <f t="shared" si="10"/>
        <v>0</v>
      </c>
      <c r="EJ32" s="537">
        <f t="shared" si="10"/>
        <v>0</v>
      </c>
      <c r="EK32" s="537">
        <f t="shared" si="10"/>
        <v>0</v>
      </c>
      <c r="EL32" s="537">
        <f t="shared" si="10"/>
        <v>0</v>
      </c>
      <c r="EM32" s="537">
        <f t="shared" si="10"/>
        <v>0</v>
      </c>
      <c r="EN32" s="537">
        <f t="shared" si="10"/>
        <v>0</v>
      </c>
      <c r="EO32" s="537">
        <f t="shared" si="10"/>
        <v>0</v>
      </c>
      <c r="EP32" s="537">
        <f t="shared" si="10"/>
        <v>0</v>
      </c>
      <c r="EQ32" s="537">
        <f t="shared" si="10"/>
        <v>0</v>
      </c>
      <c r="ER32" s="537">
        <f t="shared" si="10"/>
        <v>0</v>
      </c>
      <c r="ES32" s="537">
        <f t="shared" si="10"/>
        <v>0</v>
      </c>
      <c r="ET32" s="537">
        <f t="shared" si="10"/>
        <v>0</v>
      </c>
      <c r="EU32" s="537">
        <f t="shared" si="10"/>
        <v>0</v>
      </c>
      <c r="EV32" s="537">
        <f t="shared" si="10"/>
        <v>0</v>
      </c>
      <c r="EW32" s="537">
        <f t="shared" si="10"/>
        <v>0</v>
      </c>
      <c r="EX32" s="537">
        <f t="shared" si="10"/>
        <v>0</v>
      </c>
      <c r="EY32" s="537">
        <f t="shared" si="10"/>
        <v>0</v>
      </c>
      <c r="EZ32" s="537">
        <f t="shared" si="10"/>
        <v>0</v>
      </c>
      <c r="FA32" s="537">
        <f t="shared" si="10"/>
        <v>0</v>
      </c>
      <c r="FB32" s="537">
        <f t="shared" si="10"/>
        <v>0</v>
      </c>
      <c r="FC32" s="537">
        <f t="shared" si="10"/>
        <v>0</v>
      </c>
      <c r="FD32" s="537">
        <f t="shared" si="10"/>
        <v>0</v>
      </c>
      <c r="FE32" s="537">
        <f t="shared" si="10"/>
        <v>0</v>
      </c>
      <c r="FF32" s="537">
        <f t="shared" si="10"/>
        <v>0</v>
      </c>
      <c r="FG32" s="537">
        <f t="shared" si="10"/>
        <v>0</v>
      </c>
      <c r="FH32" s="537">
        <f t="shared" si="10"/>
        <v>0</v>
      </c>
      <c r="FI32" s="537">
        <f t="shared" si="10"/>
        <v>0</v>
      </c>
      <c r="FJ32" s="537">
        <f t="shared" si="10"/>
        <v>0</v>
      </c>
      <c r="FK32" s="537">
        <f t="shared" si="10"/>
        <v>0</v>
      </c>
      <c r="FL32" s="537">
        <f t="shared" si="10"/>
        <v>0</v>
      </c>
      <c r="FM32" s="537">
        <f t="shared" si="10"/>
        <v>0</v>
      </c>
      <c r="FN32" s="537">
        <f t="shared" si="10"/>
        <v>0</v>
      </c>
      <c r="FO32" s="537">
        <f t="shared" si="10"/>
        <v>0</v>
      </c>
      <c r="FP32" s="537">
        <f t="shared" si="10"/>
        <v>0</v>
      </c>
      <c r="FQ32" s="537">
        <f t="shared" si="10"/>
        <v>0</v>
      </c>
      <c r="FR32" s="537">
        <f t="shared" si="10"/>
        <v>0</v>
      </c>
      <c r="FS32" s="537">
        <f t="shared" si="10"/>
        <v>0</v>
      </c>
      <c r="FT32" s="537">
        <f t="shared" si="10"/>
        <v>0</v>
      </c>
      <c r="FU32" s="537">
        <f t="shared" si="10"/>
        <v>0</v>
      </c>
      <c r="FV32" s="537">
        <f t="shared" si="10"/>
        <v>0</v>
      </c>
      <c r="FW32" s="537">
        <f t="shared" si="10"/>
        <v>0</v>
      </c>
      <c r="FX32" s="537">
        <f t="shared" si="10"/>
        <v>0</v>
      </c>
      <c r="FY32" s="537">
        <f t="shared" si="10"/>
        <v>0</v>
      </c>
      <c r="FZ32" s="537">
        <f t="shared" si="10"/>
        <v>0</v>
      </c>
      <c r="GA32" s="537">
        <f t="shared" si="10"/>
        <v>0</v>
      </c>
      <c r="GB32" s="537">
        <f t="shared" si="10"/>
        <v>0</v>
      </c>
      <c r="GC32" s="537">
        <f t="shared" si="10"/>
        <v>0</v>
      </c>
      <c r="GD32" s="537">
        <f t="shared" si="10"/>
        <v>0</v>
      </c>
      <c r="GE32" s="537">
        <f t="shared" si="10"/>
        <v>0</v>
      </c>
      <c r="GF32" s="537">
        <f t="shared" si="10"/>
        <v>0</v>
      </c>
      <c r="GG32" s="537">
        <f t="shared" si="10"/>
        <v>0</v>
      </c>
      <c r="GH32" s="537">
        <f t="shared" si="10"/>
        <v>0</v>
      </c>
      <c r="GI32" s="537">
        <f t="shared" si="10"/>
        <v>0</v>
      </c>
      <c r="GJ32" s="537">
        <f t="shared" si="10"/>
        <v>0</v>
      </c>
    </row>
    <row r="33" spans="5:192" ht="12.75">
      <c r="E33" s="535" t="s">
        <v>55</v>
      </c>
      <c r="G33" s="537" t="s">
        <v>50</v>
      </c>
      <c r="H33" s="537">
        <f>SUM(J33:GJ33)</f>
        <v>153</v>
      </c>
      <c r="J33" s="537">
        <f t="shared" si="11" ref="J33:GJ33">1-J32</f>
        <v>0</v>
      </c>
      <c r="K33" s="537">
        <f t="shared" si="11"/>
        <v>0</v>
      </c>
      <c r="L33" s="537">
        <f t="shared" si="11"/>
        <v>0</v>
      </c>
      <c r="M33" s="537">
        <f t="shared" si="11"/>
        <v>0</v>
      </c>
      <c r="N33" s="537">
        <f t="shared" si="11"/>
        <v>0</v>
      </c>
      <c r="O33" s="537">
        <f t="shared" si="11"/>
        <v>0</v>
      </c>
      <c r="P33" s="537">
        <f t="shared" si="11"/>
        <v>0</v>
      </c>
      <c r="Q33" s="537">
        <f t="shared" si="11"/>
        <v>0</v>
      </c>
      <c r="R33" s="537">
        <f t="shared" si="11"/>
        <v>0</v>
      </c>
      <c r="S33" s="537">
        <f t="shared" si="11"/>
        <v>0</v>
      </c>
      <c r="T33" s="537">
        <f t="shared" si="11"/>
        <v>0</v>
      </c>
      <c r="U33" s="537">
        <f t="shared" si="11"/>
        <v>0</v>
      </c>
      <c r="V33" s="537">
        <f t="shared" si="11"/>
        <v>0</v>
      </c>
      <c r="W33" s="537">
        <f t="shared" si="11"/>
        <v>0</v>
      </c>
      <c r="X33" s="537">
        <f t="shared" si="11"/>
        <v>0</v>
      </c>
      <c r="Y33" s="537">
        <f t="shared" si="11"/>
        <v>0</v>
      </c>
      <c r="Z33" s="537">
        <f t="shared" si="11"/>
        <v>0</v>
      </c>
      <c r="AA33" s="537">
        <f t="shared" si="11"/>
        <v>0</v>
      </c>
      <c r="AB33" s="537">
        <f t="shared" si="11"/>
        <v>0</v>
      </c>
      <c r="AC33" s="537">
        <f t="shared" si="11"/>
        <v>0</v>
      </c>
      <c r="AD33" s="537">
        <f t="shared" si="11"/>
        <v>0</v>
      </c>
      <c r="AE33" s="537">
        <f t="shared" si="11"/>
        <v>0</v>
      </c>
      <c r="AF33" s="537">
        <f t="shared" si="11"/>
        <v>0</v>
      </c>
      <c r="AG33" s="537">
        <f t="shared" si="11"/>
        <v>0</v>
      </c>
      <c r="AH33" s="537">
        <f t="shared" si="11"/>
        <v>0</v>
      </c>
      <c r="AI33" s="537">
        <f t="shared" si="11"/>
        <v>0</v>
      </c>
      <c r="AJ33" s="537">
        <f t="shared" si="11"/>
        <v>0</v>
      </c>
      <c r="AK33" s="537">
        <f t="shared" si="11"/>
        <v>0</v>
      </c>
      <c r="AL33" s="537">
        <f t="shared" si="11"/>
        <v>0</v>
      </c>
      <c r="AM33" s="537">
        <f t="shared" si="11"/>
        <v>0</v>
      </c>
      <c r="AN33" s="537">
        <f t="shared" si="11"/>
        <v>1</v>
      </c>
      <c r="AO33" s="537">
        <f t="shared" si="11"/>
        <v>1</v>
      </c>
      <c r="AP33" s="537">
        <f t="shared" si="11"/>
        <v>1</v>
      </c>
      <c r="AQ33" s="537">
        <f t="shared" si="11"/>
        <v>1</v>
      </c>
      <c r="AR33" s="537">
        <f t="shared" si="11"/>
        <v>1</v>
      </c>
      <c r="AS33" s="537">
        <f t="shared" si="11"/>
        <v>1</v>
      </c>
      <c r="AT33" s="537">
        <f t="shared" si="11"/>
        <v>1</v>
      </c>
      <c r="AU33" s="537">
        <f t="shared" si="11"/>
        <v>1</v>
      </c>
      <c r="AV33" s="537">
        <f t="shared" si="11"/>
        <v>1</v>
      </c>
      <c r="AW33" s="537">
        <f t="shared" si="11"/>
        <v>1</v>
      </c>
      <c r="AX33" s="537">
        <f t="shared" si="11"/>
        <v>1</v>
      </c>
      <c r="AY33" s="537">
        <f t="shared" si="11"/>
        <v>1</v>
      </c>
      <c r="AZ33" s="537">
        <f t="shared" si="11"/>
        <v>1</v>
      </c>
      <c r="BA33" s="537">
        <f t="shared" si="11"/>
        <v>1</v>
      </c>
      <c r="BB33" s="537">
        <f t="shared" si="11"/>
        <v>1</v>
      </c>
      <c r="BC33" s="537">
        <f t="shared" si="11"/>
        <v>1</v>
      </c>
      <c r="BD33" s="537">
        <f t="shared" si="11"/>
        <v>1</v>
      </c>
      <c r="BE33" s="537">
        <f t="shared" si="11"/>
        <v>1</v>
      </c>
      <c r="BF33" s="537">
        <f t="shared" si="11"/>
        <v>1</v>
      </c>
      <c r="BG33" s="537">
        <f t="shared" si="11"/>
        <v>1</v>
      </c>
      <c r="BH33" s="537">
        <f t="shared" si="11"/>
        <v>1</v>
      </c>
      <c r="BI33" s="537">
        <f t="shared" si="11"/>
        <v>1</v>
      </c>
      <c r="BJ33" s="537">
        <f t="shared" si="11"/>
        <v>1</v>
      </c>
      <c r="BK33" s="537">
        <f t="shared" si="11"/>
        <v>1</v>
      </c>
      <c r="BL33" s="537">
        <f t="shared" si="11"/>
        <v>1</v>
      </c>
      <c r="BM33" s="537">
        <f t="shared" si="11"/>
        <v>1</v>
      </c>
      <c r="BN33" s="537">
        <f t="shared" si="11"/>
        <v>1</v>
      </c>
      <c r="BO33" s="537">
        <f t="shared" si="11"/>
        <v>1</v>
      </c>
      <c r="BP33" s="537">
        <f t="shared" si="11"/>
        <v>1</v>
      </c>
      <c r="BQ33" s="537">
        <f t="shared" si="11"/>
        <v>1</v>
      </c>
      <c r="BR33" s="537">
        <f t="shared" si="11"/>
        <v>1</v>
      </c>
      <c r="BS33" s="537">
        <f t="shared" si="11"/>
        <v>1</v>
      </c>
      <c r="BT33" s="537">
        <f t="shared" si="11"/>
        <v>1</v>
      </c>
      <c r="BU33" s="537">
        <f t="shared" si="11"/>
        <v>1</v>
      </c>
      <c r="BV33" s="537">
        <f t="shared" si="11"/>
        <v>1</v>
      </c>
      <c r="BW33" s="537">
        <f t="shared" si="11"/>
        <v>1</v>
      </c>
      <c r="BX33" s="537">
        <f t="shared" si="11"/>
        <v>1</v>
      </c>
      <c r="BY33" s="537">
        <f t="shared" si="11"/>
        <v>1</v>
      </c>
      <c r="BZ33" s="537">
        <f t="shared" si="11"/>
        <v>1</v>
      </c>
      <c r="CA33" s="537">
        <f t="shared" si="11"/>
        <v>1</v>
      </c>
      <c r="CB33" s="537">
        <f t="shared" si="11"/>
        <v>1</v>
      </c>
      <c r="CC33" s="537">
        <f t="shared" si="11"/>
        <v>1</v>
      </c>
      <c r="CD33" s="537">
        <f t="shared" si="11"/>
        <v>1</v>
      </c>
      <c r="CE33" s="537">
        <f t="shared" si="11"/>
        <v>1</v>
      </c>
      <c r="CF33" s="537">
        <f t="shared" si="11"/>
        <v>1</v>
      </c>
      <c r="CG33" s="537">
        <f t="shared" si="11"/>
        <v>1</v>
      </c>
      <c r="CH33" s="537">
        <f t="shared" si="11"/>
        <v>1</v>
      </c>
      <c r="CI33" s="537">
        <f t="shared" si="11"/>
        <v>1</v>
      </c>
      <c r="CJ33" s="537">
        <f t="shared" si="11"/>
        <v>1</v>
      </c>
      <c r="CK33" s="537">
        <f t="shared" si="11"/>
        <v>1</v>
      </c>
      <c r="CL33" s="537">
        <f t="shared" si="11"/>
        <v>1</v>
      </c>
      <c r="CM33" s="537">
        <f t="shared" si="11"/>
        <v>1</v>
      </c>
      <c r="CN33" s="537">
        <f t="shared" si="11"/>
        <v>1</v>
      </c>
      <c r="CO33" s="537">
        <f t="shared" si="11"/>
        <v>1</v>
      </c>
      <c r="CP33" s="537">
        <f t="shared" si="11"/>
        <v>1</v>
      </c>
      <c r="CQ33" s="537">
        <f t="shared" si="11"/>
        <v>1</v>
      </c>
      <c r="CR33" s="537">
        <f t="shared" si="11"/>
        <v>1</v>
      </c>
      <c r="CS33" s="537">
        <f t="shared" si="11"/>
        <v>1</v>
      </c>
      <c r="CT33" s="537">
        <f t="shared" si="11"/>
        <v>1</v>
      </c>
      <c r="CU33" s="537">
        <f t="shared" si="11"/>
        <v>1</v>
      </c>
      <c r="CV33" s="537">
        <f t="shared" si="11"/>
        <v>1</v>
      </c>
      <c r="CW33" s="537">
        <f t="shared" si="11"/>
        <v>1</v>
      </c>
      <c r="CX33" s="537">
        <f t="shared" si="11"/>
        <v>1</v>
      </c>
      <c r="CY33" s="537">
        <f t="shared" si="11"/>
        <v>1</v>
      </c>
      <c r="CZ33" s="537">
        <f t="shared" si="11"/>
        <v>1</v>
      </c>
      <c r="DA33" s="537">
        <f t="shared" si="11"/>
        <v>1</v>
      </c>
      <c r="DB33" s="537">
        <f t="shared" si="11"/>
        <v>1</v>
      </c>
      <c r="DC33" s="537">
        <f t="shared" si="11"/>
        <v>1</v>
      </c>
      <c r="DD33" s="537">
        <f t="shared" si="11"/>
        <v>1</v>
      </c>
      <c r="DE33" s="537">
        <f t="shared" si="11"/>
        <v>1</v>
      </c>
      <c r="DF33" s="537">
        <f t="shared" si="11"/>
        <v>1</v>
      </c>
      <c r="DG33" s="537">
        <f t="shared" si="11"/>
        <v>1</v>
      </c>
      <c r="DH33" s="537">
        <f t="shared" si="11"/>
        <v>1</v>
      </c>
      <c r="DI33" s="537">
        <f t="shared" si="11"/>
        <v>1</v>
      </c>
      <c r="DJ33" s="537">
        <f t="shared" si="11"/>
        <v>1</v>
      </c>
      <c r="DK33" s="537">
        <f t="shared" si="11"/>
        <v>1</v>
      </c>
      <c r="DL33" s="537">
        <f t="shared" si="11"/>
        <v>1</v>
      </c>
      <c r="DM33" s="537">
        <f t="shared" si="11"/>
        <v>1</v>
      </c>
      <c r="DN33" s="537">
        <f t="shared" si="11"/>
        <v>1</v>
      </c>
      <c r="DO33" s="537">
        <f t="shared" si="11"/>
        <v>1</v>
      </c>
      <c r="DP33" s="537">
        <f t="shared" si="11"/>
        <v>1</v>
      </c>
      <c r="DQ33" s="537">
        <f t="shared" si="11"/>
        <v>1</v>
      </c>
      <c r="DR33" s="537">
        <f t="shared" si="11"/>
        <v>1</v>
      </c>
      <c r="DS33" s="537">
        <f t="shared" si="11"/>
        <v>1</v>
      </c>
      <c r="DT33" s="537">
        <f t="shared" si="11"/>
        <v>1</v>
      </c>
      <c r="DU33" s="537">
        <f t="shared" si="11"/>
        <v>1</v>
      </c>
      <c r="DV33" s="537">
        <f t="shared" si="11"/>
        <v>1</v>
      </c>
      <c r="DW33" s="537">
        <f t="shared" si="11"/>
        <v>1</v>
      </c>
      <c r="DX33" s="537">
        <f t="shared" si="11"/>
        <v>1</v>
      </c>
      <c r="DY33" s="537">
        <f t="shared" si="11"/>
        <v>1</v>
      </c>
      <c r="DZ33" s="537">
        <f t="shared" si="11"/>
        <v>1</v>
      </c>
      <c r="EA33" s="537">
        <f t="shared" si="11"/>
        <v>1</v>
      </c>
      <c r="EB33" s="537">
        <f t="shared" si="11"/>
        <v>1</v>
      </c>
      <c r="EC33" s="537">
        <f t="shared" si="11"/>
        <v>1</v>
      </c>
      <c r="ED33" s="537">
        <f t="shared" si="11"/>
        <v>1</v>
      </c>
      <c r="EE33" s="537">
        <f t="shared" si="11"/>
        <v>1</v>
      </c>
      <c r="EF33" s="537">
        <f t="shared" si="11"/>
        <v>1</v>
      </c>
      <c r="EG33" s="537">
        <f t="shared" si="11"/>
        <v>1</v>
      </c>
      <c r="EH33" s="537">
        <f t="shared" si="11"/>
        <v>1</v>
      </c>
      <c r="EI33" s="537">
        <f t="shared" si="11"/>
        <v>1</v>
      </c>
      <c r="EJ33" s="537">
        <f t="shared" si="11"/>
        <v>1</v>
      </c>
      <c r="EK33" s="537">
        <f t="shared" si="11"/>
        <v>1</v>
      </c>
      <c r="EL33" s="537">
        <f t="shared" si="11"/>
        <v>1</v>
      </c>
      <c r="EM33" s="537">
        <f t="shared" si="11"/>
        <v>1</v>
      </c>
      <c r="EN33" s="537">
        <f t="shared" si="11"/>
        <v>1</v>
      </c>
      <c r="EO33" s="537">
        <f t="shared" si="11"/>
        <v>1</v>
      </c>
      <c r="EP33" s="537">
        <f t="shared" si="11"/>
        <v>1</v>
      </c>
      <c r="EQ33" s="537">
        <f t="shared" si="11"/>
        <v>1</v>
      </c>
      <c r="ER33" s="537">
        <f t="shared" si="11"/>
        <v>1</v>
      </c>
      <c r="ES33" s="537">
        <f t="shared" si="11"/>
        <v>1</v>
      </c>
      <c r="ET33" s="537">
        <f t="shared" si="11"/>
        <v>1</v>
      </c>
      <c r="EU33" s="537">
        <f t="shared" si="11"/>
        <v>1</v>
      </c>
      <c r="EV33" s="537">
        <f t="shared" si="11"/>
        <v>1</v>
      </c>
      <c r="EW33" s="537">
        <f t="shared" si="11"/>
        <v>1</v>
      </c>
      <c r="EX33" s="537">
        <f t="shared" si="11"/>
        <v>1</v>
      </c>
      <c r="EY33" s="537">
        <f t="shared" si="11"/>
        <v>1</v>
      </c>
      <c r="EZ33" s="537">
        <f t="shared" si="11"/>
        <v>1</v>
      </c>
      <c r="FA33" s="537">
        <f t="shared" si="11"/>
        <v>1</v>
      </c>
      <c r="FB33" s="537">
        <f t="shared" si="11"/>
        <v>1</v>
      </c>
      <c r="FC33" s="537">
        <f t="shared" si="11"/>
        <v>1</v>
      </c>
      <c r="FD33" s="537">
        <f t="shared" si="11"/>
        <v>1</v>
      </c>
      <c r="FE33" s="537">
        <f t="shared" si="11"/>
        <v>1</v>
      </c>
      <c r="FF33" s="537">
        <f t="shared" si="11"/>
        <v>1</v>
      </c>
      <c r="FG33" s="537">
        <f t="shared" si="11"/>
        <v>1</v>
      </c>
      <c r="FH33" s="537">
        <f t="shared" si="11"/>
        <v>1</v>
      </c>
      <c r="FI33" s="537">
        <f t="shared" si="11"/>
        <v>1</v>
      </c>
      <c r="FJ33" s="537">
        <f t="shared" si="11"/>
        <v>1</v>
      </c>
      <c r="FK33" s="537">
        <f t="shared" si="11"/>
        <v>1</v>
      </c>
      <c r="FL33" s="537">
        <f t="shared" si="11"/>
        <v>1</v>
      </c>
      <c r="FM33" s="537">
        <f t="shared" si="11"/>
        <v>1</v>
      </c>
      <c r="FN33" s="537">
        <f t="shared" si="11"/>
        <v>1</v>
      </c>
      <c r="FO33" s="537">
        <f t="shared" si="11"/>
        <v>1</v>
      </c>
      <c r="FP33" s="537">
        <f t="shared" si="11"/>
        <v>1</v>
      </c>
      <c r="FQ33" s="537">
        <f t="shared" si="11"/>
        <v>1</v>
      </c>
      <c r="FR33" s="537">
        <f t="shared" si="11"/>
        <v>1</v>
      </c>
      <c r="FS33" s="537">
        <f t="shared" si="11"/>
        <v>1</v>
      </c>
      <c r="FT33" s="537">
        <f t="shared" si="11"/>
        <v>1</v>
      </c>
      <c r="FU33" s="537">
        <f t="shared" si="11"/>
        <v>1</v>
      </c>
      <c r="FV33" s="537">
        <f t="shared" si="11"/>
        <v>1</v>
      </c>
      <c r="FW33" s="537">
        <f t="shared" si="11"/>
        <v>1</v>
      </c>
      <c r="FX33" s="537">
        <f t="shared" si="11"/>
        <v>1</v>
      </c>
      <c r="FY33" s="537">
        <f t="shared" si="11"/>
        <v>1</v>
      </c>
      <c r="FZ33" s="537">
        <f t="shared" si="11"/>
        <v>1</v>
      </c>
      <c r="GA33" s="537">
        <f t="shared" si="11"/>
        <v>1</v>
      </c>
      <c r="GB33" s="537">
        <f t="shared" si="11"/>
        <v>1</v>
      </c>
      <c r="GC33" s="537">
        <f t="shared" si="11"/>
        <v>1</v>
      </c>
      <c r="GD33" s="537">
        <f t="shared" si="11"/>
        <v>1</v>
      </c>
      <c r="GE33" s="537">
        <f t="shared" si="11"/>
        <v>1</v>
      </c>
      <c r="GF33" s="537">
        <f t="shared" si="11"/>
        <v>1</v>
      </c>
      <c r="GG33" s="537">
        <f t="shared" si="11"/>
        <v>1</v>
      </c>
      <c r="GH33" s="537">
        <f t="shared" si="11"/>
        <v>1</v>
      </c>
      <c r="GI33" s="537">
        <f t="shared" si="11"/>
        <v>1</v>
      </c>
      <c r="GJ33" s="537">
        <f t="shared" si="11"/>
        <v>1</v>
      </c>
    </row>
    <row r="35" spans="5:7" ht="12.75">
      <c r="E35" s="546" t="str">
        <f>InpC!E$15</f>
        <v>Length of construction period</v>
      </c>
      <c r="F35" s="548">
        <f>InpC!F$15</f>
        <v>1</v>
      </c>
      <c r="G35" s="548" t="str">
        <f>InpC!G$15</f>
        <v>months</v>
      </c>
    </row>
    <row r="36" spans="5:7" ht="12.75">
      <c r="E36" s="546" t="str">
        <f>InpC!E$16</f>
        <v>Length of operating period</v>
      </c>
      <c r="F36" s="548">
        <f>InpC!F$16</f>
        <v>3</v>
      </c>
      <c r="G36" s="548" t="str">
        <f>InpC!G$16</f>
        <v>months</v>
      </c>
    </row>
    <row r="37" spans="5:192" ht="12.75">
      <c r="E37" s="535" t="str">
        <f>E$30</f>
        <v>Construction grain period flag</v>
      </c>
      <c r="G37" s="537" t="str">
        <f>G$30</f>
        <v>flag</v>
      </c>
      <c r="H37" s="537">
        <f>H$30</f>
        <v>30</v>
      </c>
      <c r="J37" s="537">
        <f t="shared" si="12" ref="J37:GJ37">J$30</f>
        <v>1</v>
      </c>
      <c r="K37" s="537">
        <f t="shared" si="12"/>
        <v>1</v>
      </c>
      <c r="L37" s="537">
        <f t="shared" si="12"/>
        <v>1</v>
      </c>
      <c r="M37" s="537">
        <f t="shared" si="12"/>
        <v>1</v>
      </c>
      <c r="N37" s="537">
        <f t="shared" si="12"/>
        <v>1</v>
      </c>
      <c r="O37" s="537">
        <f t="shared" si="12"/>
        <v>1</v>
      </c>
      <c r="P37" s="537">
        <f t="shared" si="12"/>
        <v>1</v>
      </c>
      <c r="Q37" s="537">
        <f t="shared" si="12"/>
        <v>1</v>
      </c>
      <c r="R37" s="537">
        <f t="shared" si="12"/>
        <v>1</v>
      </c>
      <c r="S37" s="537">
        <f t="shared" si="12"/>
        <v>1</v>
      </c>
      <c r="T37" s="537">
        <f t="shared" si="12"/>
        <v>1</v>
      </c>
      <c r="U37" s="537">
        <f t="shared" si="12"/>
        <v>1</v>
      </c>
      <c r="V37" s="537">
        <f t="shared" si="12"/>
        <v>1</v>
      </c>
      <c r="W37" s="537">
        <f t="shared" si="12"/>
        <v>1</v>
      </c>
      <c r="X37" s="537">
        <f t="shared" si="12"/>
        <v>1</v>
      </c>
      <c r="Y37" s="537">
        <f t="shared" si="12"/>
        <v>1</v>
      </c>
      <c r="Z37" s="537">
        <f t="shared" si="12"/>
        <v>1</v>
      </c>
      <c r="AA37" s="537">
        <f t="shared" si="12"/>
        <v>1</v>
      </c>
      <c r="AB37" s="537">
        <f t="shared" si="12"/>
        <v>1</v>
      </c>
      <c r="AC37" s="537">
        <f t="shared" si="12"/>
        <v>1</v>
      </c>
      <c r="AD37" s="537">
        <f t="shared" si="12"/>
        <v>1</v>
      </c>
      <c r="AE37" s="537">
        <f t="shared" si="12"/>
        <v>1</v>
      </c>
      <c r="AF37" s="537">
        <f t="shared" si="12"/>
        <v>1</v>
      </c>
      <c r="AG37" s="537">
        <f t="shared" si="12"/>
        <v>1</v>
      </c>
      <c r="AH37" s="537">
        <f t="shared" si="12"/>
        <v>1</v>
      </c>
      <c r="AI37" s="537">
        <f t="shared" si="12"/>
        <v>1</v>
      </c>
      <c r="AJ37" s="537">
        <f t="shared" si="12"/>
        <v>1</v>
      </c>
      <c r="AK37" s="537">
        <f t="shared" si="12"/>
        <v>1</v>
      </c>
      <c r="AL37" s="537">
        <f t="shared" si="12"/>
        <v>1</v>
      </c>
      <c r="AM37" s="537">
        <f t="shared" si="12"/>
        <v>1</v>
      </c>
      <c r="AN37" s="537">
        <f t="shared" si="12"/>
        <v>0</v>
      </c>
      <c r="AO37" s="537">
        <f t="shared" si="12"/>
        <v>0</v>
      </c>
      <c r="AP37" s="537">
        <f t="shared" si="12"/>
        <v>0</v>
      </c>
      <c r="AQ37" s="537">
        <f t="shared" si="12"/>
        <v>0</v>
      </c>
      <c r="AR37" s="537">
        <f t="shared" si="12"/>
        <v>0</v>
      </c>
      <c r="AS37" s="537">
        <f t="shared" si="12"/>
        <v>0</v>
      </c>
      <c r="AT37" s="537">
        <f t="shared" si="12"/>
        <v>0</v>
      </c>
      <c r="AU37" s="537">
        <f t="shared" si="12"/>
        <v>0</v>
      </c>
      <c r="AV37" s="537">
        <f t="shared" si="12"/>
        <v>0</v>
      </c>
      <c r="AW37" s="537">
        <f t="shared" si="12"/>
        <v>0</v>
      </c>
      <c r="AX37" s="537">
        <f t="shared" si="12"/>
        <v>0</v>
      </c>
      <c r="AY37" s="537">
        <f t="shared" si="12"/>
        <v>0</v>
      </c>
      <c r="AZ37" s="537">
        <f t="shared" si="12"/>
        <v>0</v>
      </c>
      <c r="BA37" s="537">
        <f t="shared" si="12"/>
        <v>0</v>
      </c>
      <c r="BB37" s="537">
        <f t="shared" si="12"/>
        <v>0</v>
      </c>
      <c r="BC37" s="537">
        <f t="shared" si="12"/>
        <v>0</v>
      </c>
      <c r="BD37" s="537">
        <f t="shared" si="12"/>
        <v>0</v>
      </c>
      <c r="BE37" s="537">
        <f t="shared" si="12"/>
        <v>0</v>
      </c>
      <c r="BF37" s="537">
        <f t="shared" si="12"/>
        <v>0</v>
      </c>
      <c r="BG37" s="537">
        <f t="shared" si="12"/>
        <v>0</v>
      </c>
      <c r="BH37" s="537">
        <f t="shared" si="12"/>
        <v>0</v>
      </c>
      <c r="BI37" s="537">
        <f t="shared" si="12"/>
        <v>0</v>
      </c>
      <c r="BJ37" s="537">
        <f t="shared" si="12"/>
        <v>0</v>
      </c>
      <c r="BK37" s="537">
        <f t="shared" si="12"/>
        <v>0</v>
      </c>
      <c r="BL37" s="537">
        <f t="shared" si="12"/>
        <v>0</v>
      </c>
      <c r="BM37" s="537">
        <f t="shared" si="12"/>
        <v>0</v>
      </c>
      <c r="BN37" s="537">
        <f t="shared" si="12"/>
        <v>0</v>
      </c>
      <c r="BO37" s="537">
        <f t="shared" si="12"/>
        <v>0</v>
      </c>
      <c r="BP37" s="537">
        <f t="shared" si="12"/>
        <v>0</v>
      </c>
      <c r="BQ37" s="537">
        <f t="shared" si="12"/>
        <v>0</v>
      </c>
      <c r="BR37" s="537">
        <f t="shared" si="12"/>
        <v>0</v>
      </c>
      <c r="BS37" s="537">
        <f t="shared" si="12"/>
        <v>0</v>
      </c>
      <c r="BT37" s="537">
        <f t="shared" si="12"/>
        <v>0</v>
      </c>
      <c r="BU37" s="537">
        <f t="shared" si="12"/>
        <v>0</v>
      </c>
      <c r="BV37" s="537">
        <f t="shared" si="12"/>
        <v>0</v>
      </c>
      <c r="BW37" s="537">
        <f t="shared" si="12"/>
        <v>0</v>
      </c>
      <c r="BX37" s="537">
        <f t="shared" si="12"/>
        <v>0</v>
      </c>
      <c r="BY37" s="537">
        <f t="shared" si="12"/>
        <v>0</v>
      </c>
      <c r="BZ37" s="537">
        <f t="shared" si="12"/>
        <v>0</v>
      </c>
      <c r="CA37" s="537">
        <f t="shared" si="12"/>
        <v>0</v>
      </c>
      <c r="CB37" s="537">
        <f t="shared" si="12"/>
        <v>0</v>
      </c>
      <c r="CC37" s="537">
        <f t="shared" si="12"/>
        <v>0</v>
      </c>
      <c r="CD37" s="537">
        <f t="shared" si="12"/>
        <v>0</v>
      </c>
      <c r="CE37" s="537">
        <f t="shared" si="12"/>
        <v>0</v>
      </c>
      <c r="CF37" s="537">
        <f t="shared" si="12"/>
        <v>0</v>
      </c>
      <c r="CG37" s="537">
        <f t="shared" si="12"/>
        <v>0</v>
      </c>
      <c r="CH37" s="537">
        <f t="shared" si="12"/>
        <v>0</v>
      </c>
      <c r="CI37" s="537">
        <f t="shared" si="12"/>
        <v>0</v>
      </c>
      <c r="CJ37" s="537">
        <f t="shared" si="12"/>
        <v>0</v>
      </c>
      <c r="CK37" s="537">
        <f t="shared" si="12"/>
        <v>0</v>
      </c>
      <c r="CL37" s="537">
        <f t="shared" si="12"/>
        <v>0</v>
      </c>
      <c r="CM37" s="537">
        <f t="shared" si="12"/>
        <v>0</v>
      </c>
      <c r="CN37" s="537">
        <f t="shared" si="12"/>
        <v>0</v>
      </c>
      <c r="CO37" s="537">
        <f t="shared" si="12"/>
        <v>0</v>
      </c>
      <c r="CP37" s="537">
        <f t="shared" si="12"/>
        <v>0</v>
      </c>
      <c r="CQ37" s="537">
        <f t="shared" si="12"/>
        <v>0</v>
      </c>
      <c r="CR37" s="537">
        <f t="shared" si="12"/>
        <v>0</v>
      </c>
      <c r="CS37" s="537">
        <f t="shared" si="12"/>
        <v>0</v>
      </c>
      <c r="CT37" s="537">
        <f t="shared" si="12"/>
        <v>0</v>
      </c>
      <c r="CU37" s="537">
        <f t="shared" si="12"/>
        <v>0</v>
      </c>
      <c r="CV37" s="537">
        <f t="shared" si="12"/>
        <v>0</v>
      </c>
      <c r="CW37" s="537">
        <f t="shared" si="12"/>
        <v>0</v>
      </c>
      <c r="CX37" s="537">
        <f t="shared" si="12"/>
        <v>0</v>
      </c>
      <c r="CY37" s="537">
        <f t="shared" si="12"/>
        <v>0</v>
      </c>
      <c r="CZ37" s="537">
        <f t="shared" si="12"/>
        <v>0</v>
      </c>
      <c r="DA37" s="537">
        <f t="shared" si="12"/>
        <v>0</v>
      </c>
      <c r="DB37" s="537">
        <f t="shared" si="12"/>
        <v>0</v>
      </c>
      <c r="DC37" s="537">
        <f t="shared" si="12"/>
        <v>0</v>
      </c>
      <c r="DD37" s="537">
        <f t="shared" si="12"/>
        <v>0</v>
      </c>
      <c r="DE37" s="537">
        <f t="shared" si="12"/>
        <v>0</v>
      </c>
      <c r="DF37" s="537">
        <f t="shared" si="12"/>
        <v>0</v>
      </c>
      <c r="DG37" s="537">
        <f t="shared" si="12"/>
        <v>0</v>
      </c>
      <c r="DH37" s="537">
        <f t="shared" si="12"/>
        <v>0</v>
      </c>
      <c r="DI37" s="537">
        <f t="shared" si="12"/>
        <v>0</v>
      </c>
      <c r="DJ37" s="537">
        <f t="shared" si="12"/>
        <v>0</v>
      </c>
      <c r="DK37" s="537">
        <f t="shared" si="12"/>
        <v>0</v>
      </c>
      <c r="DL37" s="537">
        <f t="shared" si="12"/>
        <v>0</v>
      </c>
      <c r="DM37" s="537">
        <f t="shared" si="12"/>
        <v>0</v>
      </c>
      <c r="DN37" s="537">
        <f t="shared" si="12"/>
        <v>0</v>
      </c>
      <c r="DO37" s="537">
        <f t="shared" si="12"/>
        <v>0</v>
      </c>
      <c r="DP37" s="537">
        <f t="shared" si="12"/>
        <v>0</v>
      </c>
      <c r="DQ37" s="537">
        <f t="shared" si="12"/>
        <v>0</v>
      </c>
      <c r="DR37" s="537">
        <f t="shared" si="12"/>
        <v>0</v>
      </c>
      <c r="DS37" s="537">
        <f t="shared" si="12"/>
        <v>0</v>
      </c>
      <c r="DT37" s="537">
        <f t="shared" si="12"/>
        <v>0</v>
      </c>
      <c r="DU37" s="537">
        <f t="shared" si="12"/>
        <v>0</v>
      </c>
      <c r="DV37" s="537">
        <f t="shared" si="12"/>
        <v>0</v>
      </c>
      <c r="DW37" s="537">
        <f t="shared" si="12"/>
        <v>0</v>
      </c>
      <c r="DX37" s="537">
        <f t="shared" si="12"/>
        <v>0</v>
      </c>
      <c r="DY37" s="537">
        <f t="shared" si="12"/>
        <v>0</v>
      </c>
      <c r="DZ37" s="537">
        <f t="shared" si="12"/>
        <v>0</v>
      </c>
      <c r="EA37" s="537">
        <f t="shared" si="12"/>
        <v>0</v>
      </c>
      <c r="EB37" s="537">
        <f t="shared" si="12"/>
        <v>0</v>
      </c>
      <c r="EC37" s="537">
        <f t="shared" si="12"/>
        <v>0</v>
      </c>
      <c r="ED37" s="537">
        <f t="shared" si="12"/>
        <v>0</v>
      </c>
      <c r="EE37" s="537">
        <f t="shared" si="12"/>
        <v>0</v>
      </c>
      <c r="EF37" s="537">
        <f t="shared" si="12"/>
        <v>0</v>
      </c>
      <c r="EG37" s="537">
        <f t="shared" si="12"/>
        <v>0</v>
      </c>
      <c r="EH37" s="537">
        <f t="shared" si="12"/>
        <v>0</v>
      </c>
      <c r="EI37" s="537">
        <f t="shared" si="12"/>
        <v>0</v>
      </c>
      <c r="EJ37" s="537">
        <f t="shared" si="12"/>
        <v>0</v>
      </c>
      <c r="EK37" s="537">
        <f t="shared" si="12"/>
        <v>0</v>
      </c>
      <c r="EL37" s="537">
        <f t="shared" si="12"/>
        <v>0</v>
      </c>
      <c r="EM37" s="537">
        <f t="shared" si="12"/>
        <v>0</v>
      </c>
      <c r="EN37" s="537">
        <f t="shared" si="12"/>
        <v>0</v>
      </c>
      <c r="EO37" s="537">
        <f t="shared" si="12"/>
        <v>0</v>
      </c>
      <c r="EP37" s="537">
        <f t="shared" si="12"/>
        <v>0</v>
      </c>
      <c r="EQ37" s="537">
        <f t="shared" si="12"/>
        <v>0</v>
      </c>
      <c r="ER37" s="537">
        <f t="shared" si="12"/>
        <v>0</v>
      </c>
      <c r="ES37" s="537">
        <f t="shared" si="12"/>
        <v>0</v>
      </c>
      <c r="ET37" s="537">
        <f t="shared" si="12"/>
        <v>0</v>
      </c>
      <c r="EU37" s="537">
        <f t="shared" si="12"/>
        <v>0</v>
      </c>
      <c r="EV37" s="537">
        <f t="shared" si="12"/>
        <v>0</v>
      </c>
      <c r="EW37" s="537">
        <f t="shared" si="12"/>
        <v>0</v>
      </c>
      <c r="EX37" s="537">
        <f t="shared" si="12"/>
        <v>0</v>
      </c>
      <c r="EY37" s="537">
        <f t="shared" si="12"/>
        <v>0</v>
      </c>
      <c r="EZ37" s="537">
        <f t="shared" si="12"/>
        <v>0</v>
      </c>
      <c r="FA37" s="537">
        <f t="shared" si="12"/>
        <v>0</v>
      </c>
      <c r="FB37" s="537">
        <f t="shared" si="12"/>
        <v>0</v>
      </c>
      <c r="FC37" s="537">
        <f t="shared" si="12"/>
        <v>0</v>
      </c>
      <c r="FD37" s="537">
        <f t="shared" si="12"/>
        <v>0</v>
      </c>
      <c r="FE37" s="537">
        <f t="shared" si="12"/>
        <v>0</v>
      </c>
      <c r="FF37" s="537">
        <f t="shared" si="12"/>
        <v>0</v>
      </c>
      <c r="FG37" s="537">
        <f t="shared" si="12"/>
        <v>0</v>
      </c>
      <c r="FH37" s="537">
        <f t="shared" si="12"/>
        <v>0</v>
      </c>
      <c r="FI37" s="537">
        <f t="shared" si="12"/>
        <v>0</v>
      </c>
      <c r="FJ37" s="537">
        <f t="shared" si="12"/>
        <v>0</v>
      </c>
      <c r="FK37" s="537">
        <f t="shared" si="12"/>
        <v>0</v>
      </c>
      <c r="FL37" s="537">
        <f t="shared" si="12"/>
        <v>0</v>
      </c>
      <c r="FM37" s="537">
        <f t="shared" si="12"/>
        <v>0</v>
      </c>
      <c r="FN37" s="537">
        <f t="shared" si="12"/>
        <v>0</v>
      </c>
      <c r="FO37" s="537">
        <f t="shared" si="12"/>
        <v>0</v>
      </c>
      <c r="FP37" s="537">
        <f t="shared" si="12"/>
        <v>0</v>
      </c>
      <c r="FQ37" s="537">
        <f t="shared" si="12"/>
        <v>0</v>
      </c>
      <c r="FR37" s="537">
        <f t="shared" si="12"/>
        <v>0</v>
      </c>
      <c r="FS37" s="537">
        <f t="shared" si="12"/>
        <v>0</v>
      </c>
      <c r="FT37" s="537">
        <f t="shared" si="12"/>
        <v>0</v>
      </c>
      <c r="FU37" s="537">
        <f t="shared" si="12"/>
        <v>0</v>
      </c>
      <c r="FV37" s="537">
        <f t="shared" si="12"/>
        <v>0</v>
      </c>
      <c r="FW37" s="537">
        <f t="shared" si="12"/>
        <v>0</v>
      </c>
      <c r="FX37" s="537">
        <f t="shared" si="12"/>
        <v>0</v>
      </c>
      <c r="FY37" s="537">
        <f t="shared" si="12"/>
        <v>0</v>
      </c>
      <c r="FZ37" s="537">
        <f t="shared" si="12"/>
        <v>0</v>
      </c>
      <c r="GA37" s="537">
        <f t="shared" si="12"/>
        <v>0</v>
      </c>
      <c r="GB37" s="537">
        <f t="shared" si="12"/>
        <v>0</v>
      </c>
      <c r="GC37" s="537">
        <f t="shared" si="12"/>
        <v>0</v>
      </c>
      <c r="GD37" s="537">
        <f t="shared" si="12"/>
        <v>0</v>
      </c>
      <c r="GE37" s="537">
        <f t="shared" si="12"/>
        <v>0</v>
      </c>
      <c r="GF37" s="537">
        <f t="shared" si="12"/>
        <v>0</v>
      </c>
      <c r="GG37" s="537">
        <f t="shared" si="12"/>
        <v>0</v>
      </c>
      <c r="GH37" s="537">
        <f t="shared" si="12"/>
        <v>0</v>
      </c>
      <c r="GI37" s="537">
        <f t="shared" si="12"/>
        <v>0</v>
      </c>
      <c r="GJ37" s="537">
        <f t="shared" si="12"/>
        <v>0</v>
      </c>
    </row>
    <row r="38" spans="5:192" ht="12.75">
      <c r="E38" s="535" t="str">
        <f>E$33</f>
        <v>Primary timeline period flag</v>
      </c>
      <c r="G38" s="537" t="str">
        <f>G$33</f>
        <v>flag</v>
      </c>
      <c r="H38" s="537">
        <f>H$33</f>
        <v>153</v>
      </c>
      <c r="J38" s="537">
        <f t="shared" si="13" ref="J38:GJ38">J$33</f>
        <v>0</v>
      </c>
      <c r="K38" s="537">
        <f t="shared" si="13"/>
        <v>0</v>
      </c>
      <c r="L38" s="537">
        <f t="shared" si="13"/>
        <v>0</v>
      </c>
      <c r="M38" s="537">
        <f t="shared" si="13"/>
        <v>0</v>
      </c>
      <c r="N38" s="537">
        <f t="shared" si="13"/>
        <v>0</v>
      </c>
      <c r="O38" s="537">
        <f t="shared" si="13"/>
        <v>0</v>
      </c>
      <c r="P38" s="537">
        <f t="shared" si="13"/>
        <v>0</v>
      </c>
      <c r="Q38" s="537">
        <f t="shared" si="13"/>
        <v>0</v>
      </c>
      <c r="R38" s="537">
        <f t="shared" si="13"/>
        <v>0</v>
      </c>
      <c r="S38" s="537">
        <f t="shared" si="13"/>
        <v>0</v>
      </c>
      <c r="T38" s="537">
        <f t="shared" si="13"/>
        <v>0</v>
      </c>
      <c r="U38" s="537">
        <f t="shared" si="13"/>
        <v>0</v>
      </c>
      <c r="V38" s="537">
        <f t="shared" si="13"/>
        <v>0</v>
      </c>
      <c r="W38" s="537">
        <f t="shared" si="13"/>
        <v>0</v>
      </c>
      <c r="X38" s="537">
        <f t="shared" si="13"/>
        <v>0</v>
      </c>
      <c r="Y38" s="537">
        <f t="shared" si="13"/>
        <v>0</v>
      </c>
      <c r="Z38" s="537">
        <f t="shared" si="13"/>
        <v>0</v>
      </c>
      <c r="AA38" s="537">
        <f t="shared" si="13"/>
        <v>0</v>
      </c>
      <c r="AB38" s="537">
        <f t="shared" si="13"/>
        <v>0</v>
      </c>
      <c r="AC38" s="537">
        <f t="shared" si="13"/>
        <v>0</v>
      </c>
      <c r="AD38" s="537">
        <f t="shared" si="13"/>
        <v>0</v>
      </c>
      <c r="AE38" s="537">
        <f t="shared" si="13"/>
        <v>0</v>
      </c>
      <c r="AF38" s="537">
        <f t="shared" si="13"/>
        <v>0</v>
      </c>
      <c r="AG38" s="537">
        <f t="shared" si="13"/>
        <v>0</v>
      </c>
      <c r="AH38" s="537">
        <f t="shared" si="13"/>
        <v>0</v>
      </c>
      <c r="AI38" s="537">
        <f t="shared" si="13"/>
        <v>0</v>
      </c>
      <c r="AJ38" s="537">
        <f t="shared" si="13"/>
        <v>0</v>
      </c>
      <c r="AK38" s="537">
        <f t="shared" si="13"/>
        <v>0</v>
      </c>
      <c r="AL38" s="537">
        <f t="shared" si="13"/>
        <v>0</v>
      </c>
      <c r="AM38" s="537">
        <f t="shared" si="13"/>
        <v>0</v>
      </c>
      <c r="AN38" s="537">
        <f t="shared" si="13"/>
        <v>1</v>
      </c>
      <c r="AO38" s="537">
        <f t="shared" si="13"/>
        <v>1</v>
      </c>
      <c r="AP38" s="537">
        <f t="shared" si="13"/>
        <v>1</v>
      </c>
      <c r="AQ38" s="537">
        <f t="shared" si="13"/>
        <v>1</v>
      </c>
      <c r="AR38" s="537">
        <f t="shared" si="13"/>
        <v>1</v>
      </c>
      <c r="AS38" s="537">
        <f t="shared" si="13"/>
        <v>1</v>
      </c>
      <c r="AT38" s="537">
        <f t="shared" si="13"/>
        <v>1</v>
      </c>
      <c r="AU38" s="537">
        <f t="shared" si="13"/>
        <v>1</v>
      </c>
      <c r="AV38" s="537">
        <f t="shared" si="13"/>
        <v>1</v>
      </c>
      <c r="AW38" s="537">
        <f t="shared" si="13"/>
        <v>1</v>
      </c>
      <c r="AX38" s="537">
        <f t="shared" si="13"/>
        <v>1</v>
      </c>
      <c r="AY38" s="537">
        <f t="shared" si="13"/>
        <v>1</v>
      </c>
      <c r="AZ38" s="537">
        <f t="shared" si="13"/>
        <v>1</v>
      </c>
      <c r="BA38" s="537">
        <f t="shared" si="13"/>
        <v>1</v>
      </c>
      <c r="BB38" s="537">
        <f t="shared" si="13"/>
        <v>1</v>
      </c>
      <c r="BC38" s="537">
        <f t="shared" si="13"/>
        <v>1</v>
      </c>
      <c r="BD38" s="537">
        <f t="shared" si="13"/>
        <v>1</v>
      </c>
      <c r="BE38" s="537">
        <f t="shared" si="13"/>
        <v>1</v>
      </c>
      <c r="BF38" s="537">
        <f t="shared" si="13"/>
        <v>1</v>
      </c>
      <c r="BG38" s="537">
        <f t="shared" si="13"/>
        <v>1</v>
      </c>
      <c r="BH38" s="537">
        <f t="shared" si="13"/>
        <v>1</v>
      </c>
      <c r="BI38" s="537">
        <f t="shared" si="13"/>
        <v>1</v>
      </c>
      <c r="BJ38" s="537">
        <f t="shared" si="13"/>
        <v>1</v>
      </c>
      <c r="BK38" s="537">
        <f t="shared" si="13"/>
        <v>1</v>
      </c>
      <c r="BL38" s="537">
        <f t="shared" si="13"/>
        <v>1</v>
      </c>
      <c r="BM38" s="537">
        <f t="shared" si="13"/>
        <v>1</v>
      </c>
      <c r="BN38" s="537">
        <f t="shared" si="13"/>
        <v>1</v>
      </c>
      <c r="BO38" s="537">
        <f t="shared" si="13"/>
        <v>1</v>
      </c>
      <c r="BP38" s="537">
        <f t="shared" si="13"/>
        <v>1</v>
      </c>
      <c r="BQ38" s="537">
        <f t="shared" si="13"/>
        <v>1</v>
      </c>
      <c r="BR38" s="537">
        <f t="shared" si="13"/>
        <v>1</v>
      </c>
      <c r="BS38" s="537">
        <f t="shared" si="13"/>
        <v>1</v>
      </c>
      <c r="BT38" s="537">
        <f t="shared" si="13"/>
        <v>1</v>
      </c>
      <c r="BU38" s="537">
        <f t="shared" si="13"/>
        <v>1</v>
      </c>
      <c r="BV38" s="537">
        <f t="shared" si="13"/>
        <v>1</v>
      </c>
      <c r="BW38" s="537">
        <f t="shared" si="13"/>
        <v>1</v>
      </c>
      <c r="BX38" s="537">
        <f t="shared" si="13"/>
        <v>1</v>
      </c>
      <c r="BY38" s="537">
        <f t="shared" si="13"/>
        <v>1</v>
      </c>
      <c r="BZ38" s="537">
        <f t="shared" si="13"/>
        <v>1</v>
      </c>
      <c r="CA38" s="537">
        <f t="shared" si="13"/>
        <v>1</v>
      </c>
      <c r="CB38" s="537">
        <f t="shared" si="13"/>
        <v>1</v>
      </c>
      <c r="CC38" s="537">
        <f t="shared" si="13"/>
        <v>1</v>
      </c>
      <c r="CD38" s="537">
        <f t="shared" si="13"/>
        <v>1</v>
      </c>
      <c r="CE38" s="537">
        <f t="shared" si="13"/>
        <v>1</v>
      </c>
      <c r="CF38" s="537">
        <f t="shared" si="13"/>
        <v>1</v>
      </c>
      <c r="CG38" s="537">
        <f t="shared" si="13"/>
        <v>1</v>
      </c>
      <c r="CH38" s="537">
        <f t="shared" si="13"/>
        <v>1</v>
      </c>
      <c r="CI38" s="537">
        <f t="shared" si="13"/>
        <v>1</v>
      </c>
      <c r="CJ38" s="537">
        <f t="shared" si="13"/>
        <v>1</v>
      </c>
      <c r="CK38" s="537">
        <f t="shared" si="13"/>
        <v>1</v>
      </c>
      <c r="CL38" s="537">
        <f t="shared" si="13"/>
        <v>1</v>
      </c>
      <c r="CM38" s="537">
        <f t="shared" si="13"/>
        <v>1</v>
      </c>
      <c r="CN38" s="537">
        <f t="shared" si="13"/>
        <v>1</v>
      </c>
      <c r="CO38" s="537">
        <f t="shared" si="13"/>
        <v>1</v>
      </c>
      <c r="CP38" s="537">
        <f t="shared" si="13"/>
        <v>1</v>
      </c>
      <c r="CQ38" s="537">
        <f t="shared" si="13"/>
        <v>1</v>
      </c>
      <c r="CR38" s="537">
        <f t="shared" si="13"/>
        <v>1</v>
      </c>
      <c r="CS38" s="537">
        <f t="shared" si="13"/>
        <v>1</v>
      </c>
      <c r="CT38" s="537">
        <f t="shared" si="13"/>
        <v>1</v>
      </c>
      <c r="CU38" s="537">
        <f t="shared" si="13"/>
        <v>1</v>
      </c>
      <c r="CV38" s="537">
        <f t="shared" si="13"/>
        <v>1</v>
      </c>
      <c r="CW38" s="537">
        <f t="shared" si="13"/>
        <v>1</v>
      </c>
      <c r="CX38" s="537">
        <f t="shared" si="13"/>
        <v>1</v>
      </c>
      <c r="CY38" s="537">
        <f t="shared" si="13"/>
        <v>1</v>
      </c>
      <c r="CZ38" s="537">
        <f t="shared" si="13"/>
        <v>1</v>
      </c>
      <c r="DA38" s="537">
        <f t="shared" si="13"/>
        <v>1</v>
      </c>
      <c r="DB38" s="537">
        <f t="shared" si="13"/>
        <v>1</v>
      </c>
      <c r="DC38" s="537">
        <f t="shared" si="13"/>
        <v>1</v>
      </c>
      <c r="DD38" s="537">
        <f t="shared" si="13"/>
        <v>1</v>
      </c>
      <c r="DE38" s="537">
        <f t="shared" si="13"/>
        <v>1</v>
      </c>
      <c r="DF38" s="537">
        <f t="shared" si="13"/>
        <v>1</v>
      </c>
      <c r="DG38" s="537">
        <f t="shared" si="13"/>
        <v>1</v>
      </c>
      <c r="DH38" s="537">
        <f t="shared" si="13"/>
        <v>1</v>
      </c>
      <c r="DI38" s="537">
        <f t="shared" si="13"/>
        <v>1</v>
      </c>
      <c r="DJ38" s="537">
        <f t="shared" si="13"/>
        <v>1</v>
      </c>
      <c r="DK38" s="537">
        <f t="shared" si="13"/>
        <v>1</v>
      </c>
      <c r="DL38" s="537">
        <f t="shared" si="13"/>
        <v>1</v>
      </c>
      <c r="DM38" s="537">
        <f t="shared" si="13"/>
        <v>1</v>
      </c>
      <c r="DN38" s="537">
        <f t="shared" si="13"/>
        <v>1</v>
      </c>
      <c r="DO38" s="537">
        <f t="shared" si="13"/>
        <v>1</v>
      </c>
      <c r="DP38" s="537">
        <f t="shared" si="13"/>
        <v>1</v>
      </c>
      <c r="DQ38" s="537">
        <f t="shared" si="13"/>
        <v>1</v>
      </c>
      <c r="DR38" s="537">
        <f t="shared" si="13"/>
        <v>1</v>
      </c>
      <c r="DS38" s="537">
        <f t="shared" si="13"/>
        <v>1</v>
      </c>
      <c r="DT38" s="537">
        <f t="shared" si="13"/>
        <v>1</v>
      </c>
      <c r="DU38" s="537">
        <f t="shared" si="13"/>
        <v>1</v>
      </c>
      <c r="DV38" s="537">
        <f t="shared" si="13"/>
        <v>1</v>
      </c>
      <c r="DW38" s="537">
        <f t="shared" si="13"/>
        <v>1</v>
      </c>
      <c r="DX38" s="537">
        <f t="shared" si="13"/>
        <v>1</v>
      </c>
      <c r="DY38" s="537">
        <f t="shared" si="13"/>
        <v>1</v>
      </c>
      <c r="DZ38" s="537">
        <f t="shared" si="13"/>
        <v>1</v>
      </c>
      <c r="EA38" s="537">
        <f t="shared" si="13"/>
        <v>1</v>
      </c>
      <c r="EB38" s="537">
        <f t="shared" si="13"/>
        <v>1</v>
      </c>
      <c r="EC38" s="537">
        <f t="shared" si="13"/>
        <v>1</v>
      </c>
      <c r="ED38" s="537">
        <f t="shared" si="13"/>
        <v>1</v>
      </c>
      <c r="EE38" s="537">
        <f t="shared" si="13"/>
        <v>1</v>
      </c>
      <c r="EF38" s="537">
        <f t="shared" si="13"/>
        <v>1</v>
      </c>
      <c r="EG38" s="537">
        <f t="shared" si="13"/>
        <v>1</v>
      </c>
      <c r="EH38" s="537">
        <f t="shared" si="13"/>
        <v>1</v>
      </c>
      <c r="EI38" s="537">
        <f t="shared" si="13"/>
        <v>1</v>
      </c>
      <c r="EJ38" s="537">
        <f t="shared" si="13"/>
        <v>1</v>
      </c>
      <c r="EK38" s="537">
        <f t="shared" si="13"/>
        <v>1</v>
      </c>
      <c r="EL38" s="537">
        <f t="shared" si="13"/>
        <v>1</v>
      </c>
      <c r="EM38" s="537">
        <f t="shared" si="13"/>
        <v>1</v>
      </c>
      <c r="EN38" s="537">
        <f t="shared" si="13"/>
        <v>1</v>
      </c>
      <c r="EO38" s="537">
        <f t="shared" si="13"/>
        <v>1</v>
      </c>
      <c r="EP38" s="537">
        <f t="shared" si="13"/>
        <v>1</v>
      </c>
      <c r="EQ38" s="537">
        <f t="shared" si="13"/>
        <v>1</v>
      </c>
      <c r="ER38" s="537">
        <f t="shared" si="13"/>
        <v>1</v>
      </c>
      <c r="ES38" s="537">
        <f t="shared" si="13"/>
        <v>1</v>
      </c>
      <c r="ET38" s="537">
        <f t="shared" si="13"/>
        <v>1</v>
      </c>
      <c r="EU38" s="537">
        <f t="shared" si="13"/>
        <v>1</v>
      </c>
      <c r="EV38" s="537">
        <f t="shared" si="13"/>
        <v>1</v>
      </c>
      <c r="EW38" s="537">
        <f t="shared" si="13"/>
        <v>1</v>
      </c>
      <c r="EX38" s="537">
        <f t="shared" si="13"/>
        <v>1</v>
      </c>
      <c r="EY38" s="537">
        <f t="shared" si="13"/>
        <v>1</v>
      </c>
      <c r="EZ38" s="537">
        <f t="shared" si="13"/>
        <v>1</v>
      </c>
      <c r="FA38" s="537">
        <f t="shared" si="13"/>
        <v>1</v>
      </c>
      <c r="FB38" s="537">
        <f t="shared" si="13"/>
        <v>1</v>
      </c>
      <c r="FC38" s="537">
        <f t="shared" si="13"/>
        <v>1</v>
      </c>
      <c r="FD38" s="537">
        <f t="shared" si="13"/>
        <v>1</v>
      </c>
      <c r="FE38" s="537">
        <f t="shared" si="13"/>
        <v>1</v>
      </c>
      <c r="FF38" s="537">
        <f t="shared" si="13"/>
        <v>1</v>
      </c>
      <c r="FG38" s="537">
        <f t="shared" si="13"/>
        <v>1</v>
      </c>
      <c r="FH38" s="537">
        <f t="shared" si="13"/>
        <v>1</v>
      </c>
      <c r="FI38" s="537">
        <f t="shared" si="13"/>
        <v>1</v>
      </c>
      <c r="FJ38" s="537">
        <f t="shared" si="13"/>
        <v>1</v>
      </c>
      <c r="FK38" s="537">
        <f t="shared" si="13"/>
        <v>1</v>
      </c>
      <c r="FL38" s="537">
        <f t="shared" si="13"/>
        <v>1</v>
      </c>
      <c r="FM38" s="537">
        <f t="shared" si="13"/>
        <v>1</v>
      </c>
      <c r="FN38" s="537">
        <f t="shared" si="13"/>
        <v>1</v>
      </c>
      <c r="FO38" s="537">
        <f t="shared" si="13"/>
        <v>1</v>
      </c>
      <c r="FP38" s="537">
        <f t="shared" si="13"/>
        <v>1</v>
      </c>
      <c r="FQ38" s="537">
        <f t="shared" si="13"/>
        <v>1</v>
      </c>
      <c r="FR38" s="537">
        <f t="shared" si="13"/>
        <v>1</v>
      </c>
      <c r="FS38" s="537">
        <f t="shared" si="13"/>
        <v>1</v>
      </c>
      <c r="FT38" s="537">
        <f t="shared" si="13"/>
        <v>1</v>
      </c>
      <c r="FU38" s="537">
        <f t="shared" si="13"/>
        <v>1</v>
      </c>
      <c r="FV38" s="537">
        <f t="shared" si="13"/>
        <v>1</v>
      </c>
      <c r="FW38" s="537">
        <f t="shared" si="13"/>
        <v>1</v>
      </c>
      <c r="FX38" s="537">
        <f t="shared" si="13"/>
        <v>1</v>
      </c>
      <c r="FY38" s="537">
        <f t="shared" si="13"/>
        <v>1</v>
      </c>
      <c r="FZ38" s="537">
        <f t="shared" si="13"/>
        <v>1</v>
      </c>
      <c r="GA38" s="537">
        <f t="shared" si="13"/>
        <v>1</v>
      </c>
      <c r="GB38" s="537">
        <f t="shared" si="13"/>
        <v>1</v>
      </c>
      <c r="GC38" s="537">
        <f t="shared" si="13"/>
        <v>1</v>
      </c>
      <c r="GD38" s="537">
        <f t="shared" si="13"/>
        <v>1</v>
      </c>
      <c r="GE38" s="537">
        <f t="shared" si="13"/>
        <v>1</v>
      </c>
      <c r="GF38" s="537">
        <f t="shared" si="13"/>
        <v>1</v>
      </c>
      <c r="GG38" s="537">
        <f t="shared" si="13"/>
        <v>1</v>
      </c>
      <c r="GH38" s="537">
        <f t="shared" si="13"/>
        <v>1</v>
      </c>
      <c r="GI38" s="537">
        <f t="shared" si="13"/>
        <v>1</v>
      </c>
      <c r="GJ38" s="537">
        <f t="shared" si="13"/>
        <v>1</v>
      </c>
    </row>
    <row r="39" spans="5:192" ht="12.75">
      <c r="E39" s="535" t="s">
        <v>51</v>
      </c>
      <c r="G39" s="537" t="s">
        <v>17</v>
      </c>
      <c r="H39" s="537">
        <f>SUM(J39:GJ39)</f>
        <v>489</v>
      </c>
      <c r="J39" s="537">
        <f t="shared" si="14" ref="J39:GJ39">J37*$F35+$F36*J38</f>
        <v>1</v>
      </c>
      <c r="K39" s="537">
        <f t="shared" si="14"/>
        <v>1</v>
      </c>
      <c r="L39" s="537">
        <f t="shared" si="14"/>
        <v>1</v>
      </c>
      <c r="M39" s="537">
        <f t="shared" si="14"/>
        <v>1</v>
      </c>
      <c r="N39" s="537">
        <f t="shared" si="14"/>
        <v>1</v>
      </c>
      <c r="O39" s="537">
        <f t="shared" si="14"/>
        <v>1</v>
      </c>
      <c r="P39" s="537">
        <f t="shared" si="14"/>
        <v>1</v>
      </c>
      <c r="Q39" s="537">
        <f t="shared" si="14"/>
        <v>1</v>
      </c>
      <c r="R39" s="537">
        <f t="shared" si="14"/>
        <v>1</v>
      </c>
      <c r="S39" s="537">
        <f t="shared" si="14"/>
        <v>1</v>
      </c>
      <c r="T39" s="537">
        <f t="shared" si="14"/>
        <v>1</v>
      </c>
      <c r="U39" s="537">
        <f t="shared" si="14"/>
        <v>1</v>
      </c>
      <c r="V39" s="537">
        <f t="shared" si="14"/>
        <v>1</v>
      </c>
      <c r="W39" s="537">
        <f t="shared" si="14"/>
        <v>1</v>
      </c>
      <c r="X39" s="537">
        <f t="shared" si="14"/>
        <v>1</v>
      </c>
      <c r="Y39" s="537">
        <f t="shared" si="14"/>
        <v>1</v>
      </c>
      <c r="Z39" s="537">
        <f t="shared" si="14"/>
        <v>1</v>
      </c>
      <c r="AA39" s="537">
        <f t="shared" si="14"/>
        <v>1</v>
      </c>
      <c r="AB39" s="537">
        <f t="shared" si="14"/>
        <v>1</v>
      </c>
      <c r="AC39" s="537">
        <f t="shared" si="14"/>
        <v>1</v>
      </c>
      <c r="AD39" s="537">
        <f t="shared" si="14"/>
        <v>1</v>
      </c>
      <c r="AE39" s="537">
        <f t="shared" si="14"/>
        <v>1</v>
      </c>
      <c r="AF39" s="537">
        <f t="shared" si="14"/>
        <v>1</v>
      </c>
      <c r="AG39" s="537">
        <f t="shared" si="14"/>
        <v>1</v>
      </c>
      <c r="AH39" s="537">
        <f t="shared" si="14"/>
        <v>1</v>
      </c>
      <c r="AI39" s="537">
        <f t="shared" si="14"/>
        <v>1</v>
      </c>
      <c r="AJ39" s="537">
        <f t="shared" si="14"/>
        <v>1</v>
      </c>
      <c r="AK39" s="537">
        <f t="shared" si="14"/>
        <v>1</v>
      </c>
      <c r="AL39" s="537">
        <f t="shared" si="14"/>
        <v>1</v>
      </c>
      <c r="AM39" s="537">
        <f t="shared" si="14"/>
        <v>1</v>
      </c>
      <c r="AN39" s="537">
        <f t="shared" si="14"/>
        <v>3</v>
      </c>
      <c r="AO39" s="537">
        <f t="shared" si="14"/>
        <v>3</v>
      </c>
      <c r="AP39" s="537">
        <f t="shared" si="14"/>
        <v>3</v>
      </c>
      <c r="AQ39" s="537">
        <f t="shared" si="14"/>
        <v>3</v>
      </c>
      <c r="AR39" s="537">
        <f t="shared" si="14"/>
        <v>3</v>
      </c>
      <c r="AS39" s="537">
        <f t="shared" si="14"/>
        <v>3</v>
      </c>
      <c r="AT39" s="537">
        <f t="shared" si="14"/>
        <v>3</v>
      </c>
      <c r="AU39" s="537">
        <f t="shared" si="14"/>
        <v>3</v>
      </c>
      <c r="AV39" s="537">
        <f t="shared" si="14"/>
        <v>3</v>
      </c>
      <c r="AW39" s="537">
        <f t="shared" si="14"/>
        <v>3</v>
      </c>
      <c r="AX39" s="537">
        <f t="shared" si="14"/>
        <v>3</v>
      </c>
      <c r="AY39" s="537">
        <f t="shared" si="14"/>
        <v>3</v>
      </c>
      <c r="AZ39" s="537">
        <f t="shared" si="14"/>
        <v>3</v>
      </c>
      <c r="BA39" s="537">
        <f t="shared" si="14"/>
        <v>3</v>
      </c>
      <c r="BB39" s="537">
        <f t="shared" si="14"/>
        <v>3</v>
      </c>
      <c r="BC39" s="537">
        <f t="shared" si="14"/>
        <v>3</v>
      </c>
      <c r="BD39" s="537">
        <f t="shared" si="14"/>
        <v>3</v>
      </c>
      <c r="BE39" s="537">
        <f t="shared" si="14"/>
        <v>3</v>
      </c>
      <c r="BF39" s="537">
        <f t="shared" si="14"/>
        <v>3</v>
      </c>
      <c r="BG39" s="537">
        <f t="shared" si="14"/>
        <v>3</v>
      </c>
      <c r="BH39" s="537">
        <f t="shared" si="14"/>
        <v>3</v>
      </c>
      <c r="BI39" s="537">
        <f t="shared" si="14"/>
        <v>3</v>
      </c>
      <c r="BJ39" s="537">
        <f t="shared" si="14"/>
        <v>3</v>
      </c>
      <c r="BK39" s="537">
        <f t="shared" si="14"/>
        <v>3</v>
      </c>
      <c r="BL39" s="537">
        <f t="shared" si="14"/>
        <v>3</v>
      </c>
      <c r="BM39" s="537">
        <f t="shared" si="14"/>
        <v>3</v>
      </c>
      <c r="BN39" s="537">
        <f t="shared" si="14"/>
        <v>3</v>
      </c>
      <c r="BO39" s="537">
        <f t="shared" si="14"/>
        <v>3</v>
      </c>
      <c r="BP39" s="537">
        <f t="shared" si="14"/>
        <v>3</v>
      </c>
      <c r="BQ39" s="537">
        <f t="shared" si="14"/>
        <v>3</v>
      </c>
      <c r="BR39" s="537">
        <f t="shared" si="14"/>
        <v>3</v>
      </c>
      <c r="BS39" s="537">
        <f t="shared" si="14"/>
        <v>3</v>
      </c>
      <c r="BT39" s="537">
        <f t="shared" si="14"/>
        <v>3</v>
      </c>
      <c r="BU39" s="537">
        <f t="shared" si="14"/>
        <v>3</v>
      </c>
      <c r="BV39" s="537">
        <f t="shared" si="14"/>
        <v>3</v>
      </c>
      <c r="BW39" s="537">
        <f t="shared" si="14"/>
        <v>3</v>
      </c>
      <c r="BX39" s="537">
        <f t="shared" si="14"/>
        <v>3</v>
      </c>
      <c r="BY39" s="537">
        <f t="shared" si="14"/>
        <v>3</v>
      </c>
      <c r="BZ39" s="537">
        <f t="shared" si="14"/>
        <v>3</v>
      </c>
      <c r="CA39" s="537">
        <f t="shared" si="14"/>
        <v>3</v>
      </c>
      <c r="CB39" s="537">
        <f t="shared" si="14"/>
        <v>3</v>
      </c>
      <c r="CC39" s="537">
        <f t="shared" si="14"/>
        <v>3</v>
      </c>
      <c r="CD39" s="537">
        <f t="shared" si="14"/>
        <v>3</v>
      </c>
      <c r="CE39" s="537">
        <f t="shared" si="14"/>
        <v>3</v>
      </c>
      <c r="CF39" s="537">
        <f t="shared" si="14"/>
        <v>3</v>
      </c>
      <c r="CG39" s="537">
        <f t="shared" si="14"/>
        <v>3</v>
      </c>
      <c r="CH39" s="537">
        <f t="shared" si="14"/>
        <v>3</v>
      </c>
      <c r="CI39" s="537">
        <f t="shared" si="14"/>
        <v>3</v>
      </c>
      <c r="CJ39" s="537">
        <f t="shared" si="14"/>
        <v>3</v>
      </c>
      <c r="CK39" s="537">
        <f t="shared" si="14"/>
        <v>3</v>
      </c>
      <c r="CL39" s="537">
        <f t="shared" si="14"/>
        <v>3</v>
      </c>
      <c r="CM39" s="537">
        <f t="shared" si="14"/>
        <v>3</v>
      </c>
      <c r="CN39" s="537">
        <f t="shared" si="14"/>
        <v>3</v>
      </c>
      <c r="CO39" s="537">
        <f t="shared" si="14"/>
        <v>3</v>
      </c>
      <c r="CP39" s="537">
        <f t="shared" si="14"/>
        <v>3</v>
      </c>
      <c r="CQ39" s="537">
        <f t="shared" si="14"/>
        <v>3</v>
      </c>
      <c r="CR39" s="537">
        <f t="shared" si="14"/>
        <v>3</v>
      </c>
      <c r="CS39" s="537">
        <f t="shared" si="14"/>
        <v>3</v>
      </c>
      <c r="CT39" s="537">
        <f t="shared" si="14"/>
        <v>3</v>
      </c>
      <c r="CU39" s="537">
        <f t="shared" si="14"/>
        <v>3</v>
      </c>
      <c r="CV39" s="537">
        <f t="shared" si="14"/>
        <v>3</v>
      </c>
      <c r="CW39" s="537">
        <f t="shared" si="14"/>
        <v>3</v>
      </c>
      <c r="CX39" s="537">
        <f t="shared" si="14"/>
        <v>3</v>
      </c>
      <c r="CY39" s="537">
        <f t="shared" si="14"/>
        <v>3</v>
      </c>
      <c r="CZ39" s="537">
        <f t="shared" si="14"/>
        <v>3</v>
      </c>
      <c r="DA39" s="537">
        <f t="shared" si="14"/>
        <v>3</v>
      </c>
      <c r="DB39" s="537">
        <f t="shared" si="14"/>
        <v>3</v>
      </c>
      <c r="DC39" s="537">
        <f t="shared" si="14"/>
        <v>3</v>
      </c>
      <c r="DD39" s="537">
        <f t="shared" si="14"/>
        <v>3</v>
      </c>
      <c r="DE39" s="537">
        <f t="shared" si="14"/>
        <v>3</v>
      </c>
      <c r="DF39" s="537">
        <f t="shared" si="14"/>
        <v>3</v>
      </c>
      <c r="DG39" s="537">
        <f t="shared" si="14"/>
        <v>3</v>
      </c>
      <c r="DH39" s="537">
        <f t="shared" si="14"/>
        <v>3</v>
      </c>
      <c r="DI39" s="537">
        <f t="shared" si="14"/>
        <v>3</v>
      </c>
      <c r="DJ39" s="537">
        <f t="shared" si="14"/>
        <v>3</v>
      </c>
      <c r="DK39" s="537">
        <f t="shared" si="14"/>
        <v>3</v>
      </c>
      <c r="DL39" s="537">
        <f t="shared" si="14"/>
        <v>3</v>
      </c>
      <c r="DM39" s="537">
        <f t="shared" si="14"/>
        <v>3</v>
      </c>
      <c r="DN39" s="537">
        <f t="shared" si="14"/>
        <v>3</v>
      </c>
      <c r="DO39" s="537">
        <f t="shared" si="14"/>
        <v>3</v>
      </c>
      <c r="DP39" s="537">
        <f t="shared" si="14"/>
        <v>3</v>
      </c>
      <c r="DQ39" s="537">
        <f t="shared" si="14"/>
        <v>3</v>
      </c>
      <c r="DR39" s="537">
        <f t="shared" si="14"/>
        <v>3</v>
      </c>
      <c r="DS39" s="537">
        <f t="shared" si="14"/>
        <v>3</v>
      </c>
      <c r="DT39" s="537">
        <f t="shared" si="14"/>
        <v>3</v>
      </c>
      <c r="DU39" s="537">
        <f t="shared" si="14"/>
        <v>3</v>
      </c>
      <c r="DV39" s="537">
        <f t="shared" si="14"/>
        <v>3</v>
      </c>
      <c r="DW39" s="537">
        <f t="shared" si="14"/>
        <v>3</v>
      </c>
      <c r="DX39" s="537">
        <f t="shared" si="14"/>
        <v>3</v>
      </c>
      <c r="DY39" s="537">
        <f t="shared" si="14"/>
        <v>3</v>
      </c>
      <c r="DZ39" s="537">
        <f t="shared" si="14"/>
        <v>3</v>
      </c>
      <c r="EA39" s="537">
        <f t="shared" si="14"/>
        <v>3</v>
      </c>
      <c r="EB39" s="537">
        <f t="shared" si="14"/>
        <v>3</v>
      </c>
      <c r="EC39" s="537">
        <f t="shared" si="14"/>
        <v>3</v>
      </c>
      <c r="ED39" s="537">
        <f t="shared" si="14"/>
        <v>3</v>
      </c>
      <c r="EE39" s="537">
        <f t="shared" si="14"/>
        <v>3</v>
      </c>
      <c r="EF39" s="537">
        <f t="shared" si="14"/>
        <v>3</v>
      </c>
      <c r="EG39" s="537">
        <f t="shared" si="14"/>
        <v>3</v>
      </c>
      <c r="EH39" s="537">
        <f t="shared" si="14"/>
        <v>3</v>
      </c>
      <c r="EI39" s="537">
        <f t="shared" si="14"/>
        <v>3</v>
      </c>
      <c r="EJ39" s="537">
        <f t="shared" si="14"/>
        <v>3</v>
      </c>
      <c r="EK39" s="537">
        <f t="shared" si="14"/>
        <v>3</v>
      </c>
      <c r="EL39" s="537">
        <f t="shared" si="14"/>
        <v>3</v>
      </c>
      <c r="EM39" s="537">
        <f t="shared" si="14"/>
        <v>3</v>
      </c>
      <c r="EN39" s="537">
        <f t="shared" si="14"/>
        <v>3</v>
      </c>
      <c r="EO39" s="537">
        <f t="shared" si="14"/>
        <v>3</v>
      </c>
      <c r="EP39" s="537">
        <f t="shared" si="14"/>
        <v>3</v>
      </c>
      <c r="EQ39" s="537">
        <f t="shared" si="14"/>
        <v>3</v>
      </c>
      <c r="ER39" s="537">
        <f t="shared" si="14"/>
        <v>3</v>
      </c>
      <c r="ES39" s="537">
        <f t="shared" si="14"/>
        <v>3</v>
      </c>
      <c r="ET39" s="537">
        <f t="shared" si="14"/>
        <v>3</v>
      </c>
      <c r="EU39" s="537">
        <f t="shared" si="14"/>
        <v>3</v>
      </c>
      <c r="EV39" s="537">
        <f t="shared" si="14"/>
        <v>3</v>
      </c>
      <c r="EW39" s="537">
        <f t="shared" si="14"/>
        <v>3</v>
      </c>
      <c r="EX39" s="537">
        <f t="shared" si="14"/>
        <v>3</v>
      </c>
      <c r="EY39" s="537">
        <f t="shared" si="14"/>
        <v>3</v>
      </c>
      <c r="EZ39" s="537">
        <f t="shared" si="14"/>
        <v>3</v>
      </c>
      <c r="FA39" s="537">
        <f t="shared" si="14"/>
        <v>3</v>
      </c>
      <c r="FB39" s="537">
        <f t="shared" si="14"/>
        <v>3</v>
      </c>
      <c r="FC39" s="537">
        <f t="shared" si="14"/>
        <v>3</v>
      </c>
      <c r="FD39" s="537">
        <f t="shared" si="14"/>
        <v>3</v>
      </c>
      <c r="FE39" s="537">
        <f t="shared" si="14"/>
        <v>3</v>
      </c>
      <c r="FF39" s="537">
        <f t="shared" si="14"/>
        <v>3</v>
      </c>
      <c r="FG39" s="537">
        <f t="shared" si="14"/>
        <v>3</v>
      </c>
      <c r="FH39" s="537">
        <f t="shared" si="14"/>
        <v>3</v>
      </c>
      <c r="FI39" s="537">
        <f t="shared" si="14"/>
        <v>3</v>
      </c>
      <c r="FJ39" s="537">
        <f t="shared" si="14"/>
        <v>3</v>
      </c>
      <c r="FK39" s="537">
        <f t="shared" si="14"/>
        <v>3</v>
      </c>
      <c r="FL39" s="537">
        <f t="shared" si="14"/>
        <v>3</v>
      </c>
      <c r="FM39" s="537">
        <f t="shared" si="14"/>
        <v>3</v>
      </c>
      <c r="FN39" s="537">
        <f t="shared" si="14"/>
        <v>3</v>
      </c>
      <c r="FO39" s="537">
        <f t="shared" si="14"/>
        <v>3</v>
      </c>
      <c r="FP39" s="537">
        <f t="shared" si="14"/>
        <v>3</v>
      </c>
      <c r="FQ39" s="537">
        <f t="shared" si="14"/>
        <v>3</v>
      </c>
      <c r="FR39" s="537">
        <f t="shared" si="14"/>
        <v>3</v>
      </c>
      <c r="FS39" s="537">
        <f t="shared" si="14"/>
        <v>3</v>
      </c>
      <c r="FT39" s="537">
        <f t="shared" si="14"/>
        <v>3</v>
      </c>
      <c r="FU39" s="537">
        <f t="shared" si="14"/>
        <v>3</v>
      </c>
      <c r="FV39" s="537">
        <f t="shared" si="14"/>
        <v>3</v>
      </c>
      <c r="FW39" s="537">
        <f t="shared" si="14"/>
        <v>3</v>
      </c>
      <c r="FX39" s="537">
        <f t="shared" si="14"/>
        <v>3</v>
      </c>
      <c r="FY39" s="537">
        <f t="shared" si="14"/>
        <v>3</v>
      </c>
      <c r="FZ39" s="537">
        <f t="shared" si="14"/>
        <v>3</v>
      </c>
      <c r="GA39" s="537">
        <f t="shared" si="14"/>
        <v>3</v>
      </c>
      <c r="GB39" s="537">
        <f t="shared" si="14"/>
        <v>3</v>
      </c>
      <c r="GC39" s="537">
        <f t="shared" si="14"/>
        <v>3</v>
      </c>
      <c r="GD39" s="537">
        <f t="shared" si="14"/>
        <v>3</v>
      </c>
      <c r="GE39" s="537">
        <f t="shared" si="14"/>
        <v>3</v>
      </c>
      <c r="GF39" s="537">
        <f t="shared" si="14"/>
        <v>3</v>
      </c>
      <c r="GG39" s="537">
        <f t="shared" si="14"/>
        <v>3</v>
      </c>
      <c r="GH39" s="537">
        <f t="shared" si="14"/>
        <v>3</v>
      </c>
      <c r="GI39" s="537">
        <f t="shared" si="14"/>
        <v>3</v>
      </c>
      <c r="GJ39" s="537">
        <f t="shared" si="14"/>
        <v>3</v>
      </c>
    </row>
    <row r="41" spans="2:2" ht="12.75">
      <c r="B41" s="534" t="s">
        <v>56</v>
      </c>
    </row>
    <row r="42" spans="5:7" ht="12.75">
      <c r="E42" s="546" t="str">
        <f>InpC!E$13</f>
        <v>First date of time rulers</v>
      </c>
      <c r="F42" s="547">
        <f>InpC!F$13</f>
        <v>46023</v>
      </c>
      <c r="G42" s="547" t="str">
        <f>InpC!G$13</f>
        <v>date</v>
      </c>
    </row>
    <row r="43" spans="5:192" ht="12.75">
      <c r="E43" s="535" t="str">
        <f>E$16</f>
        <v>First model column flag</v>
      </c>
      <c r="G43" s="537" t="str">
        <f>G$16</f>
        <v>flag</v>
      </c>
      <c r="H43" s="537">
        <f>H$16</f>
        <v>1</v>
      </c>
      <c r="J43" s="537">
        <f t="shared" si="15" ref="J43:GJ43">J$16</f>
        <v>1</v>
      </c>
      <c r="K43" s="537">
        <f t="shared" si="15"/>
        <v>0</v>
      </c>
      <c r="L43" s="537">
        <f t="shared" si="15"/>
        <v>0</v>
      </c>
      <c r="M43" s="537">
        <f t="shared" si="15"/>
        <v>0</v>
      </c>
      <c r="N43" s="537">
        <f t="shared" si="15"/>
        <v>0</v>
      </c>
      <c r="O43" s="537">
        <f t="shared" si="15"/>
        <v>0</v>
      </c>
      <c r="P43" s="537">
        <f t="shared" si="15"/>
        <v>0</v>
      </c>
      <c r="Q43" s="537">
        <f t="shared" si="15"/>
        <v>0</v>
      </c>
      <c r="R43" s="537">
        <f t="shared" si="15"/>
        <v>0</v>
      </c>
      <c r="S43" s="537">
        <f t="shared" si="15"/>
        <v>0</v>
      </c>
      <c r="T43" s="537">
        <f t="shared" si="15"/>
        <v>0</v>
      </c>
      <c r="U43" s="537">
        <f t="shared" si="15"/>
        <v>0</v>
      </c>
      <c r="V43" s="537">
        <f t="shared" si="15"/>
        <v>0</v>
      </c>
      <c r="W43" s="537">
        <f t="shared" si="15"/>
        <v>0</v>
      </c>
      <c r="X43" s="537">
        <f t="shared" si="15"/>
        <v>0</v>
      </c>
      <c r="Y43" s="537">
        <f t="shared" si="15"/>
        <v>0</v>
      </c>
      <c r="Z43" s="537">
        <f t="shared" si="15"/>
        <v>0</v>
      </c>
      <c r="AA43" s="537">
        <f t="shared" si="15"/>
        <v>0</v>
      </c>
      <c r="AB43" s="537">
        <f t="shared" si="15"/>
        <v>0</v>
      </c>
      <c r="AC43" s="537">
        <f t="shared" si="15"/>
        <v>0</v>
      </c>
      <c r="AD43" s="537">
        <f t="shared" si="15"/>
        <v>0</v>
      </c>
      <c r="AE43" s="537">
        <f t="shared" si="15"/>
        <v>0</v>
      </c>
      <c r="AF43" s="537">
        <f t="shared" si="15"/>
        <v>0</v>
      </c>
      <c r="AG43" s="537">
        <f t="shared" si="15"/>
        <v>0</v>
      </c>
      <c r="AH43" s="537">
        <f t="shared" si="15"/>
        <v>0</v>
      </c>
      <c r="AI43" s="537">
        <f t="shared" si="15"/>
        <v>0</v>
      </c>
      <c r="AJ43" s="537">
        <f t="shared" si="15"/>
        <v>0</v>
      </c>
      <c r="AK43" s="537">
        <f t="shared" si="15"/>
        <v>0</v>
      </c>
      <c r="AL43" s="537">
        <f t="shared" si="15"/>
        <v>0</v>
      </c>
      <c r="AM43" s="537">
        <f t="shared" si="15"/>
        <v>0</v>
      </c>
      <c r="AN43" s="537">
        <f t="shared" si="15"/>
        <v>0</v>
      </c>
      <c r="AO43" s="537">
        <f t="shared" si="15"/>
        <v>0</v>
      </c>
      <c r="AP43" s="537">
        <f t="shared" si="15"/>
        <v>0</v>
      </c>
      <c r="AQ43" s="537">
        <f t="shared" si="15"/>
        <v>0</v>
      </c>
      <c r="AR43" s="537">
        <f t="shared" si="15"/>
        <v>0</v>
      </c>
      <c r="AS43" s="537">
        <f t="shared" si="15"/>
        <v>0</v>
      </c>
      <c r="AT43" s="537">
        <f t="shared" si="15"/>
        <v>0</v>
      </c>
      <c r="AU43" s="537">
        <f t="shared" si="15"/>
        <v>0</v>
      </c>
      <c r="AV43" s="537">
        <f t="shared" si="15"/>
        <v>0</v>
      </c>
      <c r="AW43" s="537">
        <f t="shared" si="15"/>
        <v>0</v>
      </c>
      <c r="AX43" s="537">
        <f t="shared" si="15"/>
        <v>0</v>
      </c>
      <c r="AY43" s="537">
        <f t="shared" si="15"/>
        <v>0</v>
      </c>
      <c r="AZ43" s="537">
        <f t="shared" si="15"/>
        <v>0</v>
      </c>
      <c r="BA43" s="537">
        <f t="shared" si="15"/>
        <v>0</v>
      </c>
      <c r="BB43" s="537">
        <f t="shared" si="15"/>
        <v>0</v>
      </c>
      <c r="BC43" s="537">
        <f t="shared" si="15"/>
        <v>0</v>
      </c>
      <c r="BD43" s="537">
        <f t="shared" si="15"/>
        <v>0</v>
      </c>
      <c r="BE43" s="537">
        <f t="shared" si="15"/>
        <v>0</v>
      </c>
      <c r="BF43" s="537">
        <f t="shared" si="15"/>
        <v>0</v>
      </c>
      <c r="BG43" s="537">
        <f t="shared" si="15"/>
        <v>0</v>
      </c>
      <c r="BH43" s="537">
        <f t="shared" si="15"/>
        <v>0</v>
      </c>
      <c r="BI43" s="537">
        <f t="shared" si="15"/>
        <v>0</v>
      </c>
      <c r="BJ43" s="537">
        <f t="shared" si="15"/>
        <v>0</v>
      </c>
      <c r="BK43" s="537">
        <f t="shared" si="15"/>
        <v>0</v>
      </c>
      <c r="BL43" s="537">
        <f t="shared" si="15"/>
        <v>0</v>
      </c>
      <c r="BM43" s="537">
        <f t="shared" si="15"/>
        <v>0</v>
      </c>
      <c r="BN43" s="537">
        <f t="shared" si="15"/>
        <v>0</v>
      </c>
      <c r="BO43" s="537">
        <f t="shared" si="15"/>
        <v>0</v>
      </c>
      <c r="BP43" s="537">
        <f t="shared" si="15"/>
        <v>0</v>
      </c>
      <c r="BQ43" s="537">
        <f t="shared" si="15"/>
        <v>0</v>
      </c>
      <c r="BR43" s="537">
        <f t="shared" si="15"/>
        <v>0</v>
      </c>
      <c r="BS43" s="537">
        <f t="shared" si="15"/>
        <v>0</v>
      </c>
      <c r="BT43" s="537">
        <f t="shared" si="15"/>
        <v>0</v>
      </c>
      <c r="BU43" s="537">
        <f t="shared" si="15"/>
        <v>0</v>
      </c>
      <c r="BV43" s="537">
        <f t="shared" si="15"/>
        <v>0</v>
      </c>
      <c r="BW43" s="537">
        <f t="shared" si="15"/>
        <v>0</v>
      </c>
      <c r="BX43" s="537">
        <f t="shared" si="15"/>
        <v>0</v>
      </c>
      <c r="BY43" s="537">
        <f t="shared" si="15"/>
        <v>0</v>
      </c>
      <c r="BZ43" s="537">
        <f t="shared" si="15"/>
        <v>0</v>
      </c>
      <c r="CA43" s="537">
        <f t="shared" si="15"/>
        <v>0</v>
      </c>
      <c r="CB43" s="537">
        <f t="shared" si="15"/>
        <v>0</v>
      </c>
      <c r="CC43" s="537">
        <f t="shared" si="15"/>
        <v>0</v>
      </c>
      <c r="CD43" s="537">
        <f t="shared" si="15"/>
        <v>0</v>
      </c>
      <c r="CE43" s="537">
        <f t="shared" si="15"/>
        <v>0</v>
      </c>
      <c r="CF43" s="537">
        <f t="shared" si="15"/>
        <v>0</v>
      </c>
      <c r="CG43" s="537">
        <f t="shared" si="15"/>
        <v>0</v>
      </c>
      <c r="CH43" s="537">
        <f t="shared" si="15"/>
        <v>0</v>
      </c>
      <c r="CI43" s="537">
        <f t="shared" si="15"/>
        <v>0</v>
      </c>
      <c r="CJ43" s="537">
        <f t="shared" si="15"/>
        <v>0</v>
      </c>
      <c r="CK43" s="537">
        <f t="shared" si="15"/>
        <v>0</v>
      </c>
      <c r="CL43" s="537">
        <f t="shared" si="15"/>
        <v>0</v>
      </c>
      <c r="CM43" s="537">
        <f t="shared" si="15"/>
        <v>0</v>
      </c>
      <c r="CN43" s="537">
        <f t="shared" si="15"/>
        <v>0</v>
      </c>
      <c r="CO43" s="537">
        <f t="shared" si="15"/>
        <v>0</v>
      </c>
      <c r="CP43" s="537">
        <f t="shared" si="15"/>
        <v>0</v>
      </c>
      <c r="CQ43" s="537">
        <f t="shared" si="15"/>
        <v>0</v>
      </c>
      <c r="CR43" s="537">
        <f t="shared" si="15"/>
        <v>0</v>
      </c>
      <c r="CS43" s="537">
        <f t="shared" si="15"/>
        <v>0</v>
      </c>
      <c r="CT43" s="537">
        <f t="shared" si="15"/>
        <v>0</v>
      </c>
      <c r="CU43" s="537">
        <f t="shared" si="15"/>
        <v>0</v>
      </c>
      <c r="CV43" s="537">
        <f t="shared" si="15"/>
        <v>0</v>
      </c>
      <c r="CW43" s="537">
        <f t="shared" si="15"/>
        <v>0</v>
      </c>
      <c r="CX43" s="537">
        <f t="shared" si="15"/>
        <v>0</v>
      </c>
      <c r="CY43" s="537">
        <f t="shared" si="15"/>
        <v>0</v>
      </c>
      <c r="CZ43" s="537">
        <f t="shared" si="15"/>
        <v>0</v>
      </c>
      <c r="DA43" s="537">
        <f t="shared" si="15"/>
        <v>0</v>
      </c>
      <c r="DB43" s="537">
        <f t="shared" si="15"/>
        <v>0</v>
      </c>
      <c r="DC43" s="537">
        <f t="shared" si="15"/>
        <v>0</v>
      </c>
      <c r="DD43" s="537">
        <f t="shared" si="15"/>
        <v>0</v>
      </c>
      <c r="DE43" s="537">
        <f t="shared" si="15"/>
        <v>0</v>
      </c>
      <c r="DF43" s="537">
        <f t="shared" si="15"/>
        <v>0</v>
      </c>
      <c r="DG43" s="537">
        <f t="shared" si="15"/>
        <v>0</v>
      </c>
      <c r="DH43" s="537">
        <f t="shared" si="15"/>
        <v>0</v>
      </c>
      <c r="DI43" s="537">
        <f t="shared" si="15"/>
        <v>0</v>
      </c>
      <c r="DJ43" s="537">
        <f t="shared" si="15"/>
        <v>0</v>
      </c>
      <c r="DK43" s="537">
        <f t="shared" si="15"/>
        <v>0</v>
      </c>
      <c r="DL43" s="537">
        <f t="shared" si="15"/>
        <v>0</v>
      </c>
      <c r="DM43" s="537">
        <f t="shared" si="15"/>
        <v>0</v>
      </c>
      <c r="DN43" s="537">
        <f t="shared" si="15"/>
        <v>0</v>
      </c>
      <c r="DO43" s="537">
        <f t="shared" si="15"/>
        <v>0</v>
      </c>
      <c r="DP43" s="537">
        <f t="shared" si="15"/>
        <v>0</v>
      </c>
      <c r="DQ43" s="537">
        <f t="shared" si="15"/>
        <v>0</v>
      </c>
      <c r="DR43" s="537">
        <f t="shared" si="15"/>
        <v>0</v>
      </c>
      <c r="DS43" s="537">
        <f t="shared" si="15"/>
        <v>0</v>
      </c>
      <c r="DT43" s="537">
        <f t="shared" si="15"/>
        <v>0</v>
      </c>
      <c r="DU43" s="537">
        <f t="shared" si="15"/>
        <v>0</v>
      </c>
      <c r="DV43" s="537">
        <f t="shared" si="15"/>
        <v>0</v>
      </c>
      <c r="DW43" s="537">
        <f t="shared" si="15"/>
        <v>0</v>
      </c>
      <c r="DX43" s="537">
        <f t="shared" si="15"/>
        <v>0</v>
      </c>
      <c r="DY43" s="537">
        <f t="shared" si="15"/>
        <v>0</v>
      </c>
      <c r="DZ43" s="537">
        <f t="shared" si="15"/>
        <v>0</v>
      </c>
      <c r="EA43" s="537">
        <f t="shared" si="15"/>
        <v>0</v>
      </c>
      <c r="EB43" s="537">
        <f t="shared" si="15"/>
        <v>0</v>
      </c>
      <c r="EC43" s="537">
        <f t="shared" si="15"/>
        <v>0</v>
      </c>
      <c r="ED43" s="537">
        <f t="shared" si="15"/>
        <v>0</v>
      </c>
      <c r="EE43" s="537">
        <f t="shared" si="15"/>
        <v>0</v>
      </c>
      <c r="EF43" s="537">
        <f t="shared" si="15"/>
        <v>0</v>
      </c>
      <c r="EG43" s="537">
        <f t="shared" si="15"/>
        <v>0</v>
      </c>
      <c r="EH43" s="537">
        <f t="shared" si="15"/>
        <v>0</v>
      </c>
      <c r="EI43" s="537">
        <f t="shared" si="15"/>
        <v>0</v>
      </c>
      <c r="EJ43" s="537">
        <f t="shared" si="15"/>
        <v>0</v>
      </c>
      <c r="EK43" s="537">
        <f t="shared" si="15"/>
        <v>0</v>
      </c>
      <c r="EL43" s="537">
        <f t="shared" si="15"/>
        <v>0</v>
      </c>
      <c r="EM43" s="537">
        <f t="shared" si="15"/>
        <v>0</v>
      </c>
      <c r="EN43" s="537">
        <f t="shared" si="15"/>
        <v>0</v>
      </c>
      <c r="EO43" s="537">
        <f t="shared" si="15"/>
        <v>0</v>
      </c>
      <c r="EP43" s="537">
        <f t="shared" si="15"/>
        <v>0</v>
      </c>
      <c r="EQ43" s="537">
        <f t="shared" si="15"/>
        <v>0</v>
      </c>
      <c r="ER43" s="537">
        <f t="shared" si="15"/>
        <v>0</v>
      </c>
      <c r="ES43" s="537">
        <f t="shared" si="15"/>
        <v>0</v>
      </c>
      <c r="ET43" s="537">
        <f t="shared" si="15"/>
        <v>0</v>
      </c>
      <c r="EU43" s="537">
        <f t="shared" si="15"/>
        <v>0</v>
      </c>
      <c r="EV43" s="537">
        <f t="shared" si="15"/>
        <v>0</v>
      </c>
      <c r="EW43" s="537">
        <f t="shared" si="15"/>
        <v>0</v>
      </c>
      <c r="EX43" s="537">
        <f t="shared" si="15"/>
        <v>0</v>
      </c>
      <c r="EY43" s="537">
        <f t="shared" si="15"/>
        <v>0</v>
      </c>
      <c r="EZ43" s="537">
        <f t="shared" si="15"/>
        <v>0</v>
      </c>
      <c r="FA43" s="537">
        <f t="shared" si="15"/>
        <v>0</v>
      </c>
      <c r="FB43" s="537">
        <f t="shared" si="15"/>
        <v>0</v>
      </c>
      <c r="FC43" s="537">
        <f t="shared" si="15"/>
        <v>0</v>
      </c>
      <c r="FD43" s="537">
        <f t="shared" si="15"/>
        <v>0</v>
      </c>
      <c r="FE43" s="537">
        <f t="shared" si="15"/>
        <v>0</v>
      </c>
      <c r="FF43" s="537">
        <f t="shared" si="15"/>
        <v>0</v>
      </c>
      <c r="FG43" s="537">
        <f t="shared" si="15"/>
        <v>0</v>
      </c>
      <c r="FH43" s="537">
        <f t="shared" si="15"/>
        <v>0</v>
      </c>
      <c r="FI43" s="537">
        <f t="shared" si="15"/>
        <v>0</v>
      </c>
      <c r="FJ43" s="537">
        <f t="shared" si="15"/>
        <v>0</v>
      </c>
      <c r="FK43" s="537">
        <f t="shared" si="15"/>
        <v>0</v>
      </c>
      <c r="FL43" s="537">
        <f t="shared" si="15"/>
        <v>0</v>
      </c>
      <c r="FM43" s="537">
        <f t="shared" si="15"/>
        <v>0</v>
      </c>
      <c r="FN43" s="537">
        <f t="shared" si="15"/>
        <v>0</v>
      </c>
      <c r="FO43" s="537">
        <f t="shared" si="15"/>
        <v>0</v>
      </c>
      <c r="FP43" s="537">
        <f t="shared" si="15"/>
        <v>0</v>
      </c>
      <c r="FQ43" s="537">
        <f t="shared" si="15"/>
        <v>0</v>
      </c>
      <c r="FR43" s="537">
        <f t="shared" si="15"/>
        <v>0</v>
      </c>
      <c r="FS43" s="537">
        <f t="shared" si="15"/>
        <v>0</v>
      </c>
      <c r="FT43" s="537">
        <f t="shared" si="15"/>
        <v>0</v>
      </c>
      <c r="FU43" s="537">
        <f t="shared" si="15"/>
        <v>0</v>
      </c>
      <c r="FV43" s="537">
        <f t="shared" si="15"/>
        <v>0</v>
      </c>
      <c r="FW43" s="537">
        <f t="shared" si="15"/>
        <v>0</v>
      </c>
      <c r="FX43" s="537">
        <f t="shared" si="15"/>
        <v>0</v>
      </c>
      <c r="FY43" s="537">
        <f t="shared" si="15"/>
        <v>0</v>
      </c>
      <c r="FZ43" s="537">
        <f t="shared" si="15"/>
        <v>0</v>
      </c>
      <c r="GA43" s="537">
        <f t="shared" si="15"/>
        <v>0</v>
      </c>
      <c r="GB43" s="537">
        <f t="shared" si="15"/>
        <v>0</v>
      </c>
      <c r="GC43" s="537">
        <f t="shared" si="15"/>
        <v>0</v>
      </c>
      <c r="GD43" s="537">
        <f t="shared" si="15"/>
        <v>0</v>
      </c>
      <c r="GE43" s="537">
        <f t="shared" si="15"/>
        <v>0</v>
      </c>
      <c r="GF43" s="537">
        <f t="shared" si="15"/>
        <v>0</v>
      </c>
      <c r="GG43" s="537">
        <f t="shared" si="15"/>
        <v>0</v>
      </c>
      <c r="GH43" s="537">
        <f t="shared" si="15"/>
        <v>0</v>
      </c>
      <c r="GI43" s="537">
        <f t="shared" si="15"/>
        <v>0</v>
      </c>
      <c r="GJ43" s="537">
        <f t="shared" si="15"/>
        <v>0</v>
      </c>
    </row>
    <row r="44" spans="5:192" ht="12.75">
      <c r="E44" s="535" t="str">
        <f>E$39</f>
        <v>Months per model period</v>
      </c>
      <c r="G44" s="537" t="str">
        <f>G$39</f>
        <v>months</v>
      </c>
      <c r="H44" s="537">
        <f>H$39</f>
        <v>489</v>
      </c>
      <c r="J44" s="537">
        <f t="shared" si="16" ref="J44:GJ44">J$39</f>
        <v>1</v>
      </c>
      <c r="K44" s="537">
        <f t="shared" si="16"/>
        <v>1</v>
      </c>
      <c r="L44" s="537">
        <f t="shared" si="16"/>
        <v>1</v>
      </c>
      <c r="M44" s="537">
        <f t="shared" si="16"/>
        <v>1</v>
      </c>
      <c r="N44" s="537">
        <f t="shared" si="16"/>
        <v>1</v>
      </c>
      <c r="O44" s="537">
        <f t="shared" si="16"/>
        <v>1</v>
      </c>
      <c r="P44" s="537">
        <f t="shared" si="16"/>
        <v>1</v>
      </c>
      <c r="Q44" s="537">
        <f t="shared" si="16"/>
        <v>1</v>
      </c>
      <c r="R44" s="537">
        <f t="shared" si="16"/>
        <v>1</v>
      </c>
      <c r="S44" s="537">
        <f t="shared" si="16"/>
        <v>1</v>
      </c>
      <c r="T44" s="537">
        <f t="shared" si="16"/>
        <v>1</v>
      </c>
      <c r="U44" s="537">
        <f t="shared" si="16"/>
        <v>1</v>
      </c>
      <c r="V44" s="537">
        <f t="shared" si="16"/>
        <v>1</v>
      </c>
      <c r="W44" s="537">
        <f t="shared" si="16"/>
        <v>1</v>
      </c>
      <c r="X44" s="537">
        <f t="shared" si="16"/>
        <v>1</v>
      </c>
      <c r="Y44" s="537">
        <f t="shared" si="16"/>
        <v>1</v>
      </c>
      <c r="Z44" s="537">
        <f t="shared" si="16"/>
        <v>1</v>
      </c>
      <c r="AA44" s="537">
        <f t="shared" si="16"/>
        <v>1</v>
      </c>
      <c r="AB44" s="537">
        <f t="shared" si="16"/>
        <v>1</v>
      </c>
      <c r="AC44" s="537">
        <f t="shared" si="16"/>
        <v>1</v>
      </c>
      <c r="AD44" s="537">
        <f t="shared" si="16"/>
        <v>1</v>
      </c>
      <c r="AE44" s="537">
        <f t="shared" si="16"/>
        <v>1</v>
      </c>
      <c r="AF44" s="537">
        <f t="shared" si="16"/>
        <v>1</v>
      </c>
      <c r="AG44" s="537">
        <f t="shared" si="16"/>
        <v>1</v>
      </c>
      <c r="AH44" s="537">
        <f t="shared" si="16"/>
        <v>1</v>
      </c>
      <c r="AI44" s="537">
        <f t="shared" si="16"/>
        <v>1</v>
      </c>
      <c r="AJ44" s="537">
        <f t="shared" si="16"/>
        <v>1</v>
      </c>
      <c r="AK44" s="537">
        <f t="shared" si="16"/>
        <v>1</v>
      </c>
      <c r="AL44" s="537">
        <f t="shared" si="16"/>
        <v>1</v>
      </c>
      <c r="AM44" s="537">
        <f t="shared" si="16"/>
        <v>1</v>
      </c>
      <c r="AN44" s="537">
        <f t="shared" si="16"/>
        <v>3</v>
      </c>
      <c r="AO44" s="537">
        <f t="shared" si="16"/>
        <v>3</v>
      </c>
      <c r="AP44" s="537">
        <f t="shared" si="16"/>
        <v>3</v>
      </c>
      <c r="AQ44" s="537">
        <f t="shared" si="16"/>
        <v>3</v>
      </c>
      <c r="AR44" s="537">
        <f t="shared" si="16"/>
        <v>3</v>
      </c>
      <c r="AS44" s="537">
        <f t="shared" si="16"/>
        <v>3</v>
      </c>
      <c r="AT44" s="537">
        <f t="shared" si="16"/>
        <v>3</v>
      </c>
      <c r="AU44" s="537">
        <f t="shared" si="16"/>
        <v>3</v>
      </c>
      <c r="AV44" s="537">
        <f t="shared" si="16"/>
        <v>3</v>
      </c>
      <c r="AW44" s="537">
        <f t="shared" si="16"/>
        <v>3</v>
      </c>
      <c r="AX44" s="537">
        <f t="shared" si="16"/>
        <v>3</v>
      </c>
      <c r="AY44" s="537">
        <f t="shared" si="16"/>
        <v>3</v>
      </c>
      <c r="AZ44" s="537">
        <f t="shared" si="16"/>
        <v>3</v>
      </c>
      <c r="BA44" s="537">
        <f t="shared" si="16"/>
        <v>3</v>
      </c>
      <c r="BB44" s="537">
        <f t="shared" si="16"/>
        <v>3</v>
      </c>
      <c r="BC44" s="537">
        <f t="shared" si="16"/>
        <v>3</v>
      </c>
      <c r="BD44" s="537">
        <f t="shared" si="16"/>
        <v>3</v>
      </c>
      <c r="BE44" s="537">
        <f t="shared" si="16"/>
        <v>3</v>
      </c>
      <c r="BF44" s="537">
        <f t="shared" si="16"/>
        <v>3</v>
      </c>
      <c r="BG44" s="537">
        <f t="shared" si="16"/>
        <v>3</v>
      </c>
      <c r="BH44" s="537">
        <f t="shared" si="16"/>
        <v>3</v>
      </c>
      <c r="BI44" s="537">
        <f t="shared" si="16"/>
        <v>3</v>
      </c>
      <c r="BJ44" s="537">
        <f t="shared" si="16"/>
        <v>3</v>
      </c>
      <c r="BK44" s="537">
        <f t="shared" si="16"/>
        <v>3</v>
      </c>
      <c r="BL44" s="537">
        <f t="shared" si="16"/>
        <v>3</v>
      </c>
      <c r="BM44" s="537">
        <f t="shared" si="16"/>
        <v>3</v>
      </c>
      <c r="BN44" s="537">
        <f t="shared" si="16"/>
        <v>3</v>
      </c>
      <c r="BO44" s="537">
        <f t="shared" si="16"/>
        <v>3</v>
      </c>
      <c r="BP44" s="537">
        <f t="shared" si="16"/>
        <v>3</v>
      </c>
      <c r="BQ44" s="537">
        <f t="shared" si="16"/>
        <v>3</v>
      </c>
      <c r="BR44" s="537">
        <f t="shared" si="16"/>
        <v>3</v>
      </c>
      <c r="BS44" s="537">
        <f t="shared" si="16"/>
        <v>3</v>
      </c>
      <c r="BT44" s="537">
        <f t="shared" si="16"/>
        <v>3</v>
      </c>
      <c r="BU44" s="537">
        <f t="shared" si="16"/>
        <v>3</v>
      </c>
      <c r="BV44" s="537">
        <f t="shared" si="16"/>
        <v>3</v>
      </c>
      <c r="BW44" s="537">
        <f t="shared" si="16"/>
        <v>3</v>
      </c>
      <c r="BX44" s="537">
        <f t="shared" si="16"/>
        <v>3</v>
      </c>
      <c r="BY44" s="537">
        <f t="shared" si="16"/>
        <v>3</v>
      </c>
      <c r="BZ44" s="537">
        <f t="shared" si="16"/>
        <v>3</v>
      </c>
      <c r="CA44" s="537">
        <f t="shared" si="16"/>
        <v>3</v>
      </c>
      <c r="CB44" s="537">
        <f t="shared" si="16"/>
        <v>3</v>
      </c>
      <c r="CC44" s="537">
        <f t="shared" si="16"/>
        <v>3</v>
      </c>
      <c r="CD44" s="537">
        <f t="shared" si="16"/>
        <v>3</v>
      </c>
      <c r="CE44" s="537">
        <f t="shared" si="16"/>
        <v>3</v>
      </c>
      <c r="CF44" s="537">
        <f t="shared" si="16"/>
        <v>3</v>
      </c>
      <c r="CG44" s="537">
        <f t="shared" si="16"/>
        <v>3</v>
      </c>
      <c r="CH44" s="537">
        <f t="shared" si="16"/>
        <v>3</v>
      </c>
      <c r="CI44" s="537">
        <f t="shared" si="16"/>
        <v>3</v>
      </c>
      <c r="CJ44" s="537">
        <f t="shared" si="16"/>
        <v>3</v>
      </c>
      <c r="CK44" s="537">
        <f t="shared" si="16"/>
        <v>3</v>
      </c>
      <c r="CL44" s="537">
        <f t="shared" si="16"/>
        <v>3</v>
      </c>
      <c r="CM44" s="537">
        <f t="shared" si="16"/>
        <v>3</v>
      </c>
      <c r="CN44" s="537">
        <f t="shared" si="16"/>
        <v>3</v>
      </c>
      <c r="CO44" s="537">
        <f t="shared" si="16"/>
        <v>3</v>
      </c>
      <c r="CP44" s="537">
        <f t="shared" si="16"/>
        <v>3</v>
      </c>
      <c r="CQ44" s="537">
        <f t="shared" si="16"/>
        <v>3</v>
      </c>
      <c r="CR44" s="537">
        <f t="shared" si="16"/>
        <v>3</v>
      </c>
      <c r="CS44" s="537">
        <f t="shared" si="16"/>
        <v>3</v>
      </c>
      <c r="CT44" s="537">
        <f t="shared" si="16"/>
        <v>3</v>
      </c>
      <c r="CU44" s="537">
        <f t="shared" si="16"/>
        <v>3</v>
      </c>
      <c r="CV44" s="537">
        <f t="shared" si="16"/>
        <v>3</v>
      </c>
      <c r="CW44" s="537">
        <f t="shared" si="16"/>
        <v>3</v>
      </c>
      <c r="CX44" s="537">
        <f t="shared" si="16"/>
        <v>3</v>
      </c>
      <c r="CY44" s="537">
        <f t="shared" si="16"/>
        <v>3</v>
      </c>
      <c r="CZ44" s="537">
        <f t="shared" si="16"/>
        <v>3</v>
      </c>
      <c r="DA44" s="537">
        <f t="shared" si="16"/>
        <v>3</v>
      </c>
      <c r="DB44" s="537">
        <f t="shared" si="16"/>
        <v>3</v>
      </c>
      <c r="DC44" s="537">
        <f t="shared" si="16"/>
        <v>3</v>
      </c>
      <c r="DD44" s="537">
        <f t="shared" si="16"/>
        <v>3</v>
      </c>
      <c r="DE44" s="537">
        <f t="shared" si="16"/>
        <v>3</v>
      </c>
      <c r="DF44" s="537">
        <f t="shared" si="16"/>
        <v>3</v>
      </c>
      <c r="DG44" s="537">
        <f t="shared" si="16"/>
        <v>3</v>
      </c>
      <c r="DH44" s="537">
        <f t="shared" si="16"/>
        <v>3</v>
      </c>
      <c r="DI44" s="537">
        <f t="shared" si="16"/>
        <v>3</v>
      </c>
      <c r="DJ44" s="537">
        <f t="shared" si="16"/>
        <v>3</v>
      </c>
      <c r="DK44" s="537">
        <f t="shared" si="16"/>
        <v>3</v>
      </c>
      <c r="DL44" s="537">
        <f t="shared" si="16"/>
        <v>3</v>
      </c>
      <c r="DM44" s="537">
        <f t="shared" si="16"/>
        <v>3</v>
      </c>
      <c r="DN44" s="537">
        <f t="shared" si="16"/>
        <v>3</v>
      </c>
      <c r="DO44" s="537">
        <f t="shared" si="16"/>
        <v>3</v>
      </c>
      <c r="DP44" s="537">
        <f t="shared" si="16"/>
        <v>3</v>
      </c>
      <c r="DQ44" s="537">
        <f t="shared" si="16"/>
        <v>3</v>
      </c>
      <c r="DR44" s="537">
        <f t="shared" si="16"/>
        <v>3</v>
      </c>
      <c r="DS44" s="537">
        <f t="shared" si="16"/>
        <v>3</v>
      </c>
      <c r="DT44" s="537">
        <f t="shared" si="16"/>
        <v>3</v>
      </c>
      <c r="DU44" s="537">
        <f t="shared" si="16"/>
        <v>3</v>
      </c>
      <c r="DV44" s="537">
        <f t="shared" si="16"/>
        <v>3</v>
      </c>
      <c r="DW44" s="537">
        <f t="shared" si="16"/>
        <v>3</v>
      </c>
      <c r="DX44" s="537">
        <f t="shared" si="16"/>
        <v>3</v>
      </c>
      <c r="DY44" s="537">
        <f t="shared" si="16"/>
        <v>3</v>
      </c>
      <c r="DZ44" s="537">
        <f t="shared" si="16"/>
        <v>3</v>
      </c>
      <c r="EA44" s="537">
        <f t="shared" si="16"/>
        <v>3</v>
      </c>
      <c r="EB44" s="537">
        <f t="shared" si="16"/>
        <v>3</v>
      </c>
      <c r="EC44" s="537">
        <f t="shared" si="16"/>
        <v>3</v>
      </c>
      <c r="ED44" s="537">
        <f t="shared" si="16"/>
        <v>3</v>
      </c>
      <c r="EE44" s="537">
        <f t="shared" si="16"/>
        <v>3</v>
      </c>
      <c r="EF44" s="537">
        <f t="shared" si="16"/>
        <v>3</v>
      </c>
      <c r="EG44" s="537">
        <f t="shared" si="16"/>
        <v>3</v>
      </c>
      <c r="EH44" s="537">
        <f t="shared" si="16"/>
        <v>3</v>
      </c>
      <c r="EI44" s="537">
        <f t="shared" si="16"/>
        <v>3</v>
      </c>
      <c r="EJ44" s="537">
        <f t="shared" si="16"/>
        <v>3</v>
      </c>
      <c r="EK44" s="537">
        <f t="shared" si="16"/>
        <v>3</v>
      </c>
      <c r="EL44" s="537">
        <f t="shared" si="16"/>
        <v>3</v>
      </c>
      <c r="EM44" s="537">
        <f t="shared" si="16"/>
        <v>3</v>
      </c>
      <c r="EN44" s="537">
        <f t="shared" si="16"/>
        <v>3</v>
      </c>
      <c r="EO44" s="537">
        <f t="shared" si="16"/>
        <v>3</v>
      </c>
      <c r="EP44" s="537">
        <f t="shared" si="16"/>
        <v>3</v>
      </c>
      <c r="EQ44" s="537">
        <f t="shared" si="16"/>
        <v>3</v>
      </c>
      <c r="ER44" s="537">
        <f t="shared" si="16"/>
        <v>3</v>
      </c>
      <c r="ES44" s="537">
        <f t="shared" si="16"/>
        <v>3</v>
      </c>
      <c r="ET44" s="537">
        <f t="shared" si="16"/>
        <v>3</v>
      </c>
      <c r="EU44" s="537">
        <f t="shared" si="16"/>
        <v>3</v>
      </c>
      <c r="EV44" s="537">
        <f t="shared" si="16"/>
        <v>3</v>
      </c>
      <c r="EW44" s="537">
        <f t="shared" si="16"/>
        <v>3</v>
      </c>
      <c r="EX44" s="537">
        <f t="shared" si="16"/>
        <v>3</v>
      </c>
      <c r="EY44" s="537">
        <f t="shared" si="16"/>
        <v>3</v>
      </c>
      <c r="EZ44" s="537">
        <f t="shared" si="16"/>
        <v>3</v>
      </c>
      <c r="FA44" s="537">
        <f t="shared" si="16"/>
        <v>3</v>
      </c>
      <c r="FB44" s="537">
        <f t="shared" si="16"/>
        <v>3</v>
      </c>
      <c r="FC44" s="537">
        <f t="shared" si="16"/>
        <v>3</v>
      </c>
      <c r="FD44" s="537">
        <f t="shared" si="16"/>
        <v>3</v>
      </c>
      <c r="FE44" s="537">
        <f t="shared" si="16"/>
        <v>3</v>
      </c>
      <c r="FF44" s="537">
        <f t="shared" si="16"/>
        <v>3</v>
      </c>
      <c r="FG44" s="537">
        <f t="shared" si="16"/>
        <v>3</v>
      </c>
      <c r="FH44" s="537">
        <f t="shared" si="16"/>
        <v>3</v>
      </c>
      <c r="FI44" s="537">
        <f t="shared" si="16"/>
        <v>3</v>
      </c>
      <c r="FJ44" s="537">
        <f t="shared" si="16"/>
        <v>3</v>
      </c>
      <c r="FK44" s="537">
        <f t="shared" si="16"/>
        <v>3</v>
      </c>
      <c r="FL44" s="537">
        <f t="shared" si="16"/>
        <v>3</v>
      </c>
      <c r="FM44" s="537">
        <f t="shared" si="16"/>
        <v>3</v>
      </c>
      <c r="FN44" s="537">
        <f t="shared" si="16"/>
        <v>3</v>
      </c>
      <c r="FO44" s="537">
        <f t="shared" si="16"/>
        <v>3</v>
      </c>
      <c r="FP44" s="537">
        <f t="shared" si="16"/>
        <v>3</v>
      </c>
      <c r="FQ44" s="537">
        <f t="shared" si="16"/>
        <v>3</v>
      </c>
      <c r="FR44" s="537">
        <f t="shared" si="16"/>
        <v>3</v>
      </c>
      <c r="FS44" s="537">
        <f t="shared" si="16"/>
        <v>3</v>
      </c>
      <c r="FT44" s="537">
        <f t="shared" si="16"/>
        <v>3</v>
      </c>
      <c r="FU44" s="537">
        <f t="shared" si="16"/>
        <v>3</v>
      </c>
      <c r="FV44" s="537">
        <f t="shared" si="16"/>
        <v>3</v>
      </c>
      <c r="FW44" s="537">
        <f t="shared" si="16"/>
        <v>3</v>
      </c>
      <c r="FX44" s="537">
        <f t="shared" si="16"/>
        <v>3</v>
      </c>
      <c r="FY44" s="537">
        <f t="shared" si="16"/>
        <v>3</v>
      </c>
      <c r="FZ44" s="537">
        <f t="shared" si="16"/>
        <v>3</v>
      </c>
      <c r="GA44" s="537">
        <f t="shared" si="16"/>
        <v>3</v>
      </c>
      <c r="GB44" s="537">
        <f t="shared" si="16"/>
        <v>3</v>
      </c>
      <c r="GC44" s="537">
        <f t="shared" si="16"/>
        <v>3</v>
      </c>
      <c r="GD44" s="537">
        <f t="shared" si="16"/>
        <v>3</v>
      </c>
      <c r="GE44" s="537">
        <f t="shared" si="16"/>
        <v>3</v>
      </c>
      <c r="GF44" s="537">
        <f t="shared" si="16"/>
        <v>3</v>
      </c>
      <c r="GG44" s="537">
        <f t="shared" si="16"/>
        <v>3</v>
      </c>
      <c r="GH44" s="537">
        <f t="shared" si="16"/>
        <v>3</v>
      </c>
      <c r="GI44" s="537">
        <f t="shared" si="16"/>
        <v>3</v>
      </c>
      <c r="GJ44" s="537">
        <f t="shared" si="16"/>
        <v>3</v>
      </c>
    </row>
    <row r="45" spans="5:192" ht="12.75">
      <c r="E45" s="535" t="s">
        <v>57</v>
      </c>
      <c r="G45" s="540" t="s">
        <v>14</v>
      </c>
      <c r="J45" s="540">
        <f t="shared" si="17" ref="J45:GJ45">IF(J43=1,$F42,EDATE(I45,I44))</f>
        <v>46023</v>
      </c>
      <c r="K45" s="540">
        <f t="shared" si="17"/>
        <v>46054</v>
      </c>
      <c r="L45" s="540">
        <f t="shared" si="17"/>
        <v>46082</v>
      </c>
      <c r="M45" s="540">
        <f t="shared" si="17"/>
        <v>46113</v>
      </c>
      <c r="N45" s="540">
        <f t="shared" si="17"/>
        <v>46143</v>
      </c>
      <c r="O45" s="540">
        <f t="shared" si="17"/>
        <v>46174</v>
      </c>
      <c r="P45" s="540">
        <f t="shared" si="17"/>
        <v>46204</v>
      </c>
      <c r="Q45" s="540">
        <f t="shared" si="17"/>
        <v>46235</v>
      </c>
      <c r="R45" s="540">
        <f t="shared" si="17"/>
        <v>46266</v>
      </c>
      <c r="S45" s="540">
        <f t="shared" si="17"/>
        <v>46296</v>
      </c>
      <c r="T45" s="540">
        <f t="shared" si="17"/>
        <v>46327</v>
      </c>
      <c r="U45" s="540">
        <f t="shared" si="17"/>
        <v>46357</v>
      </c>
      <c r="V45" s="540">
        <f t="shared" si="17"/>
        <v>46388</v>
      </c>
      <c r="W45" s="540">
        <f t="shared" si="17"/>
        <v>46419</v>
      </c>
      <c r="X45" s="540">
        <f t="shared" si="17"/>
        <v>46447</v>
      </c>
      <c r="Y45" s="540">
        <f t="shared" si="17"/>
        <v>46478</v>
      </c>
      <c r="Z45" s="540">
        <f t="shared" si="17"/>
        <v>46508</v>
      </c>
      <c r="AA45" s="540">
        <f t="shared" si="17"/>
        <v>46539</v>
      </c>
      <c r="AB45" s="540">
        <f t="shared" si="17"/>
        <v>46569</v>
      </c>
      <c r="AC45" s="540">
        <f t="shared" si="17"/>
        <v>46600</v>
      </c>
      <c r="AD45" s="540">
        <f t="shared" si="17"/>
        <v>46631</v>
      </c>
      <c r="AE45" s="540">
        <f t="shared" si="17"/>
        <v>46661</v>
      </c>
      <c r="AF45" s="540">
        <f t="shared" si="17"/>
        <v>46692</v>
      </c>
      <c r="AG45" s="540">
        <f t="shared" si="17"/>
        <v>46722</v>
      </c>
      <c r="AH45" s="540">
        <f t="shared" si="17"/>
        <v>46753</v>
      </c>
      <c r="AI45" s="540">
        <f t="shared" si="17"/>
        <v>46784</v>
      </c>
      <c r="AJ45" s="540">
        <f t="shared" si="17"/>
        <v>46813</v>
      </c>
      <c r="AK45" s="540">
        <f t="shared" si="17"/>
        <v>46844</v>
      </c>
      <c r="AL45" s="540">
        <f t="shared" si="17"/>
        <v>46874</v>
      </c>
      <c r="AM45" s="540">
        <f t="shared" si="17"/>
        <v>46905</v>
      </c>
      <c r="AN45" s="540">
        <f t="shared" si="17"/>
        <v>46935</v>
      </c>
      <c r="AO45" s="540">
        <f t="shared" si="17"/>
        <v>47027</v>
      </c>
      <c r="AP45" s="540">
        <f t="shared" si="17"/>
        <v>47119</v>
      </c>
      <c r="AQ45" s="540">
        <f t="shared" si="17"/>
        <v>47209</v>
      </c>
      <c r="AR45" s="540">
        <f t="shared" si="17"/>
        <v>47300</v>
      </c>
      <c r="AS45" s="540">
        <f t="shared" si="17"/>
        <v>47392</v>
      </c>
      <c r="AT45" s="540">
        <f t="shared" si="17"/>
        <v>47484</v>
      </c>
      <c r="AU45" s="540">
        <f t="shared" si="17"/>
        <v>47574</v>
      </c>
      <c r="AV45" s="540">
        <f t="shared" si="17"/>
        <v>47665</v>
      </c>
      <c r="AW45" s="540">
        <f t="shared" si="17"/>
        <v>47757</v>
      </c>
      <c r="AX45" s="540">
        <f t="shared" si="17"/>
        <v>47849</v>
      </c>
      <c r="AY45" s="540">
        <f t="shared" si="17"/>
        <v>47939</v>
      </c>
      <c r="AZ45" s="540">
        <f t="shared" si="17"/>
        <v>48030</v>
      </c>
      <c r="BA45" s="540">
        <f t="shared" si="17"/>
        <v>48122</v>
      </c>
      <c r="BB45" s="540">
        <f t="shared" si="17"/>
        <v>48214</v>
      </c>
      <c r="BC45" s="540">
        <f t="shared" si="17"/>
        <v>48305</v>
      </c>
      <c r="BD45" s="540">
        <f t="shared" si="17"/>
        <v>48396</v>
      </c>
      <c r="BE45" s="540">
        <f t="shared" si="17"/>
        <v>48488</v>
      </c>
      <c r="BF45" s="540">
        <f t="shared" si="17"/>
        <v>48580</v>
      </c>
      <c r="BG45" s="540">
        <f t="shared" si="17"/>
        <v>48670</v>
      </c>
      <c r="BH45" s="540">
        <f t="shared" si="17"/>
        <v>48761</v>
      </c>
      <c r="BI45" s="540">
        <f t="shared" si="17"/>
        <v>48853</v>
      </c>
      <c r="BJ45" s="540">
        <f t="shared" si="17"/>
        <v>48945</v>
      </c>
      <c r="BK45" s="540">
        <f t="shared" si="17"/>
        <v>49035</v>
      </c>
      <c r="BL45" s="540">
        <f t="shared" si="17"/>
        <v>49126</v>
      </c>
      <c r="BM45" s="540">
        <f t="shared" si="17"/>
        <v>49218</v>
      </c>
      <c r="BN45" s="540">
        <f t="shared" si="17"/>
        <v>49310</v>
      </c>
      <c r="BO45" s="540">
        <f t="shared" si="17"/>
        <v>49400</v>
      </c>
      <c r="BP45" s="540">
        <f t="shared" si="17"/>
        <v>49491</v>
      </c>
      <c r="BQ45" s="540">
        <f t="shared" si="17"/>
        <v>49583</v>
      </c>
      <c r="BR45" s="540">
        <f t="shared" si="17"/>
        <v>49675</v>
      </c>
      <c r="BS45" s="540">
        <f t="shared" si="17"/>
        <v>49766</v>
      </c>
      <c r="BT45" s="540">
        <f t="shared" si="17"/>
        <v>49857</v>
      </c>
      <c r="BU45" s="540">
        <f t="shared" si="17"/>
        <v>49949</v>
      </c>
      <c r="BV45" s="540">
        <f t="shared" si="17"/>
        <v>50041</v>
      </c>
      <c r="BW45" s="540">
        <f t="shared" si="17"/>
        <v>50131</v>
      </c>
      <c r="BX45" s="540">
        <f t="shared" si="17"/>
        <v>50222</v>
      </c>
      <c r="BY45" s="540">
        <f t="shared" si="17"/>
        <v>50314</v>
      </c>
      <c r="BZ45" s="540">
        <f t="shared" si="17"/>
        <v>50406</v>
      </c>
      <c r="CA45" s="540">
        <f t="shared" si="17"/>
        <v>50496</v>
      </c>
      <c r="CB45" s="540">
        <f t="shared" si="17"/>
        <v>50587</v>
      </c>
      <c r="CC45" s="540">
        <f t="shared" si="17"/>
        <v>50679</v>
      </c>
      <c r="CD45" s="540">
        <f t="shared" si="17"/>
        <v>50771</v>
      </c>
      <c r="CE45" s="540">
        <f t="shared" si="17"/>
        <v>50861</v>
      </c>
      <c r="CF45" s="540">
        <f t="shared" si="17"/>
        <v>50952</v>
      </c>
      <c r="CG45" s="540">
        <f t="shared" si="17"/>
        <v>51044</v>
      </c>
      <c r="CH45" s="540">
        <f t="shared" si="17"/>
        <v>51136</v>
      </c>
      <c r="CI45" s="540">
        <f t="shared" si="17"/>
        <v>51227</v>
      </c>
      <c r="CJ45" s="540">
        <f t="shared" si="17"/>
        <v>51318</v>
      </c>
      <c r="CK45" s="540">
        <f t="shared" si="17"/>
        <v>51410</v>
      </c>
      <c r="CL45" s="540">
        <f t="shared" si="17"/>
        <v>51502</v>
      </c>
      <c r="CM45" s="540">
        <f t="shared" si="17"/>
        <v>51592</v>
      </c>
      <c r="CN45" s="540">
        <f t="shared" si="17"/>
        <v>51683</v>
      </c>
      <c r="CO45" s="540">
        <f t="shared" si="17"/>
        <v>51775</v>
      </c>
      <c r="CP45" s="540">
        <f t="shared" si="17"/>
        <v>51867</v>
      </c>
      <c r="CQ45" s="540">
        <f t="shared" si="17"/>
        <v>51957</v>
      </c>
      <c r="CR45" s="540">
        <f t="shared" si="17"/>
        <v>52048</v>
      </c>
      <c r="CS45" s="540">
        <f t="shared" si="17"/>
        <v>52140</v>
      </c>
      <c r="CT45" s="540">
        <f t="shared" si="17"/>
        <v>52232</v>
      </c>
      <c r="CU45" s="540">
        <f t="shared" si="17"/>
        <v>52322</v>
      </c>
      <c r="CV45" s="540">
        <f t="shared" si="17"/>
        <v>52413</v>
      </c>
      <c r="CW45" s="540">
        <f t="shared" si="17"/>
        <v>52505</v>
      </c>
      <c r="CX45" s="540">
        <f t="shared" si="17"/>
        <v>52597</v>
      </c>
      <c r="CY45" s="540">
        <f t="shared" si="17"/>
        <v>52688</v>
      </c>
      <c r="CZ45" s="540">
        <f t="shared" si="17"/>
        <v>52779</v>
      </c>
      <c r="DA45" s="540">
        <f t="shared" si="17"/>
        <v>52871</v>
      </c>
      <c r="DB45" s="540">
        <f t="shared" si="17"/>
        <v>52963</v>
      </c>
      <c r="DC45" s="540">
        <f t="shared" si="17"/>
        <v>53053</v>
      </c>
      <c r="DD45" s="540">
        <f t="shared" si="17"/>
        <v>53144</v>
      </c>
      <c r="DE45" s="540">
        <f t="shared" si="17"/>
        <v>53236</v>
      </c>
      <c r="DF45" s="540">
        <f t="shared" si="17"/>
        <v>53328</v>
      </c>
      <c r="DG45" s="540">
        <f t="shared" si="17"/>
        <v>53418</v>
      </c>
      <c r="DH45" s="540">
        <f t="shared" si="17"/>
        <v>53509</v>
      </c>
      <c r="DI45" s="540">
        <f t="shared" si="17"/>
        <v>53601</v>
      </c>
      <c r="DJ45" s="540">
        <f t="shared" si="17"/>
        <v>53693</v>
      </c>
      <c r="DK45" s="540">
        <f t="shared" si="17"/>
        <v>53783</v>
      </c>
      <c r="DL45" s="540">
        <f t="shared" si="17"/>
        <v>53874</v>
      </c>
      <c r="DM45" s="540">
        <f t="shared" si="17"/>
        <v>53966</v>
      </c>
      <c r="DN45" s="540">
        <f t="shared" si="17"/>
        <v>54058</v>
      </c>
      <c r="DO45" s="540">
        <f t="shared" si="17"/>
        <v>54149</v>
      </c>
      <c r="DP45" s="540">
        <f t="shared" si="17"/>
        <v>54240</v>
      </c>
      <c r="DQ45" s="540">
        <f t="shared" si="17"/>
        <v>54332</v>
      </c>
      <c r="DR45" s="540">
        <f t="shared" si="17"/>
        <v>54424</v>
      </c>
      <c r="DS45" s="540">
        <f t="shared" si="17"/>
        <v>54514</v>
      </c>
      <c r="DT45" s="540">
        <f t="shared" si="17"/>
        <v>54605</v>
      </c>
      <c r="DU45" s="540">
        <f t="shared" si="17"/>
        <v>54697</v>
      </c>
      <c r="DV45" s="540">
        <f t="shared" si="17"/>
        <v>54789</v>
      </c>
      <c r="DW45" s="540">
        <f t="shared" si="17"/>
        <v>54879</v>
      </c>
      <c r="DX45" s="540">
        <f t="shared" si="17"/>
        <v>54970</v>
      </c>
      <c r="DY45" s="540">
        <f t="shared" si="17"/>
        <v>55062</v>
      </c>
      <c r="DZ45" s="540">
        <f t="shared" si="17"/>
        <v>55154</v>
      </c>
      <c r="EA45" s="540">
        <f t="shared" si="17"/>
        <v>55244</v>
      </c>
      <c r="EB45" s="540">
        <f t="shared" si="17"/>
        <v>55335</v>
      </c>
      <c r="EC45" s="540">
        <f t="shared" si="17"/>
        <v>55427</v>
      </c>
      <c r="ED45" s="540">
        <f t="shared" si="17"/>
        <v>55519</v>
      </c>
      <c r="EE45" s="540">
        <f t="shared" si="17"/>
        <v>55610</v>
      </c>
      <c r="EF45" s="540">
        <f t="shared" si="17"/>
        <v>55701</v>
      </c>
      <c r="EG45" s="540">
        <f t="shared" si="17"/>
        <v>55793</v>
      </c>
      <c r="EH45" s="540">
        <f t="shared" si="17"/>
        <v>55885</v>
      </c>
      <c r="EI45" s="540">
        <f t="shared" si="17"/>
        <v>55975</v>
      </c>
      <c r="EJ45" s="540">
        <f t="shared" si="17"/>
        <v>56066</v>
      </c>
      <c r="EK45" s="540">
        <f t="shared" si="17"/>
        <v>56158</v>
      </c>
      <c r="EL45" s="540">
        <f t="shared" si="17"/>
        <v>56250</v>
      </c>
      <c r="EM45" s="540">
        <f t="shared" si="17"/>
        <v>56340</v>
      </c>
      <c r="EN45" s="540">
        <f t="shared" si="17"/>
        <v>56431</v>
      </c>
      <c r="EO45" s="540">
        <f t="shared" si="17"/>
        <v>56523</v>
      </c>
      <c r="EP45" s="540">
        <f t="shared" si="17"/>
        <v>56615</v>
      </c>
      <c r="EQ45" s="540">
        <f t="shared" si="17"/>
        <v>56705</v>
      </c>
      <c r="ER45" s="540">
        <f t="shared" si="17"/>
        <v>56796</v>
      </c>
      <c r="ES45" s="540">
        <f t="shared" si="17"/>
        <v>56888</v>
      </c>
      <c r="ET45" s="540">
        <f t="shared" si="17"/>
        <v>56980</v>
      </c>
      <c r="EU45" s="540">
        <f t="shared" si="17"/>
        <v>57071</v>
      </c>
      <c r="EV45" s="540">
        <f t="shared" si="17"/>
        <v>57162</v>
      </c>
      <c r="EW45" s="540">
        <f t="shared" si="17"/>
        <v>57254</v>
      </c>
      <c r="EX45" s="540">
        <f t="shared" si="17"/>
        <v>57346</v>
      </c>
      <c r="EY45" s="540">
        <f t="shared" si="17"/>
        <v>57436</v>
      </c>
      <c r="EZ45" s="540">
        <f t="shared" si="17"/>
        <v>57527</v>
      </c>
      <c r="FA45" s="540">
        <f t="shared" si="17"/>
        <v>57619</v>
      </c>
      <c r="FB45" s="540">
        <f t="shared" si="17"/>
        <v>57711</v>
      </c>
      <c r="FC45" s="540">
        <f t="shared" si="17"/>
        <v>57801</v>
      </c>
      <c r="FD45" s="540">
        <f t="shared" si="17"/>
        <v>57892</v>
      </c>
      <c r="FE45" s="540">
        <f t="shared" si="17"/>
        <v>57984</v>
      </c>
      <c r="FF45" s="540">
        <f t="shared" si="17"/>
        <v>58076</v>
      </c>
      <c r="FG45" s="540">
        <f t="shared" si="17"/>
        <v>58166</v>
      </c>
      <c r="FH45" s="540">
        <f t="shared" si="17"/>
        <v>58257</v>
      </c>
      <c r="FI45" s="540">
        <f t="shared" si="17"/>
        <v>58349</v>
      </c>
      <c r="FJ45" s="540">
        <f t="shared" si="17"/>
        <v>58441</v>
      </c>
      <c r="FK45" s="540">
        <f t="shared" si="17"/>
        <v>58532</v>
      </c>
      <c r="FL45" s="540">
        <f t="shared" si="17"/>
        <v>58623</v>
      </c>
      <c r="FM45" s="540">
        <f t="shared" si="17"/>
        <v>58715</v>
      </c>
      <c r="FN45" s="540">
        <f t="shared" si="17"/>
        <v>58807</v>
      </c>
      <c r="FO45" s="540">
        <f t="shared" si="17"/>
        <v>58897</v>
      </c>
      <c r="FP45" s="540">
        <f t="shared" si="17"/>
        <v>58988</v>
      </c>
      <c r="FQ45" s="540">
        <f t="shared" si="17"/>
        <v>59080</v>
      </c>
      <c r="FR45" s="540">
        <f t="shared" si="17"/>
        <v>59172</v>
      </c>
      <c r="FS45" s="540">
        <f t="shared" si="17"/>
        <v>59262</v>
      </c>
      <c r="FT45" s="540">
        <f t="shared" si="17"/>
        <v>59353</v>
      </c>
      <c r="FU45" s="540">
        <f t="shared" si="17"/>
        <v>59445</v>
      </c>
      <c r="FV45" s="540">
        <f t="shared" si="17"/>
        <v>59537</v>
      </c>
      <c r="FW45" s="540">
        <f t="shared" si="17"/>
        <v>59627</v>
      </c>
      <c r="FX45" s="540">
        <f t="shared" si="17"/>
        <v>59718</v>
      </c>
      <c r="FY45" s="540">
        <f t="shared" si="17"/>
        <v>59810</v>
      </c>
      <c r="FZ45" s="540">
        <f t="shared" si="17"/>
        <v>59902</v>
      </c>
      <c r="GA45" s="540">
        <f t="shared" si="17"/>
        <v>59993</v>
      </c>
      <c r="GB45" s="540">
        <f t="shared" si="17"/>
        <v>60084</v>
      </c>
      <c r="GC45" s="540">
        <f t="shared" si="17"/>
        <v>60176</v>
      </c>
      <c r="GD45" s="540">
        <f t="shared" si="17"/>
        <v>60268</v>
      </c>
      <c r="GE45" s="540">
        <f t="shared" si="17"/>
        <v>60358</v>
      </c>
      <c r="GF45" s="540">
        <f t="shared" si="17"/>
        <v>60449</v>
      </c>
      <c r="GG45" s="540">
        <f t="shared" si="17"/>
        <v>60541</v>
      </c>
      <c r="GH45" s="540">
        <f t="shared" si="17"/>
        <v>60633</v>
      </c>
      <c r="GI45" s="540">
        <f t="shared" si="17"/>
        <v>60723</v>
      </c>
      <c r="GJ45" s="540">
        <f t="shared" si="17"/>
        <v>60814</v>
      </c>
    </row>
    <row r="47" spans="2:2" ht="12.75">
      <c r="B47" s="534" t="s">
        <v>58</v>
      </c>
    </row>
    <row r="48" spans="5:192" ht="12.75">
      <c r="E48" s="535" t="str">
        <f>E$39</f>
        <v>Months per model period</v>
      </c>
      <c r="G48" s="537" t="str">
        <f>G$39</f>
        <v>months</v>
      </c>
      <c r="H48" s="537">
        <f>H$39</f>
        <v>489</v>
      </c>
      <c r="J48" s="537">
        <f t="shared" si="18" ref="J48:GJ48">J$39</f>
        <v>1</v>
      </c>
      <c r="K48" s="537">
        <f t="shared" si="18"/>
        <v>1</v>
      </c>
      <c r="L48" s="537">
        <f t="shared" si="18"/>
        <v>1</v>
      </c>
      <c r="M48" s="537">
        <f t="shared" si="18"/>
        <v>1</v>
      </c>
      <c r="N48" s="537">
        <f t="shared" si="18"/>
        <v>1</v>
      </c>
      <c r="O48" s="537">
        <f t="shared" si="18"/>
        <v>1</v>
      </c>
      <c r="P48" s="537">
        <f t="shared" si="18"/>
        <v>1</v>
      </c>
      <c r="Q48" s="537">
        <f t="shared" si="18"/>
        <v>1</v>
      </c>
      <c r="R48" s="537">
        <f t="shared" si="18"/>
        <v>1</v>
      </c>
      <c r="S48" s="537">
        <f t="shared" si="18"/>
        <v>1</v>
      </c>
      <c r="T48" s="537">
        <f t="shared" si="18"/>
        <v>1</v>
      </c>
      <c r="U48" s="537">
        <f t="shared" si="18"/>
        <v>1</v>
      </c>
      <c r="V48" s="537">
        <f t="shared" si="18"/>
        <v>1</v>
      </c>
      <c r="W48" s="537">
        <f t="shared" si="18"/>
        <v>1</v>
      </c>
      <c r="X48" s="537">
        <f t="shared" si="18"/>
        <v>1</v>
      </c>
      <c r="Y48" s="537">
        <f t="shared" si="18"/>
        <v>1</v>
      </c>
      <c r="Z48" s="537">
        <f t="shared" si="18"/>
        <v>1</v>
      </c>
      <c r="AA48" s="537">
        <f t="shared" si="18"/>
        <v>1</v>
      </c>
      <c r="AB48" s="537">
        <f t="shared" si="18"/>
        <v>1</v>
      </c>
      <c r="AC48" s="537">
        <f t="shared" si="18"/>
        <v>1</v>
      </c>
      <c r="AD48" s="537">
        <f t="shared" si="18"/>
        <v>1</v>
      </c>
      <c r="AE48" s="537">
        <f t="shared" si="18"/>
        <v>1</v>
      </c>
      <c r="AF48" s="537">
        <f t="shared" si="18"/>
        <v>1</v>
      </c>
      <c r="AG48" s="537">
        <f t="shared" si="18"/>
        <v>1</v>
      </c>
      <c r="AH48" s="537">
        <f t="shared" si="18"/>
        <v>1</v>
      </c>
      <c r="AI48" s="537">
        <f t="shared" si="18"/>
        <v>1</v>
      </c>
      <c r="AJ48" s="537">
        <f t="shared" si="18"/>
        <v>1</v>
      </c>
      <c r="AK48" s="537">
        <f t="shared" si="18"/>
        <v>1</v>
      </c>
      <c r="AL48" s="537">
        <f t="shared" si="18"/>
        <v>1</v>
      </c>
      <c r="AM48" s="537">
        <f t="shared" si="18"/>
        <v>1</v>
      </c>
      <c r="AN48" s="537">
        <f t="shared" si="18"/>
        <v>3</v>
      </c>
      <c r="AO48" s="537">
        <f t="shared" si="18"/>
        <v>3</v>
      </c>
      <c r="AP48" s="537">
        <f t="shared" si="18"/>
        <v>3</v>
      </c>
      <c r="AQ48" s="537">
        <f t="shared" si="18"/>
        <v>3</v>
      </c>
      <c r="AR48" s="537">
        <f t="shared" si="18"/>
        <v>3</v>
      </c>
      <c r="AS48" s="537">
        <f t="shared" si="18"/>
        <v>3</v>
      </c>
      <c r="AT48" s="537">
        <f t="shared" si="18"/>
        <v>3</v>
      </c>
      <c r="AU48" s="537">
        <f t="shared" si="18"/>
        <v>3</v>
      </c>
      <c r="AV48" s="537">
        <f t="shared" si="18"/>
        <v>3</v>
      </c>
      <c r="AW48" s="537">
        <f t="shared" si="18"/>
        <v>3</v>
      </c>
      <c r="AX48" s="537">
        <f t="shared" si="18"/>
        <v>3</v>
      </c>
      <c r="AY48" s="537">
        <f t="shared" si="18"/>
        <v>3</v>
      </c>
      <c r="AZ48" s="537">
        <f t="shared" si="18"/>
        <v>3</v>
      </c>
      <c r="BA48" s="537">
        <f t="shared" si="18"/>
        <v>3</v>
      </c>
      <c r="BB48" s="537">
        <f t="shared" si="18"/>
        <v>3</v>
      </c>
      <c r="BC48" s="537">
        <f t="shared" si="18"/>
        <v>3</v>
      </c>
      <c r="BD48" s="537">
        <f t="shared" si="18"/>
        <v>3</v>
      </c>
      <c r="BE48" s="537">
        <f t="shared" si="18"/>
        <v>3</v>
      </c>
      <c r="BF48" s="537">
        <f t="shared" si="18"/>
        <v>3</v>
      </c>
      <c r="BG48" s="537">
        <f t="shared" si="18"/>
        <v>3</v>
      </c>
      <c r="BH48" s="537">
        <f t="shared" si="18"/>
        <v>3</v>
      </c>
      <c r="BI48" s="537">
        <f t="shared" si="18"/>
        <v>3</v>
      </c>
      <c r="BJ48" s="537">
        <f t="shared" si="18"/>
        <v>3</v>
      </c>
      <c r="BK48" s="537">
        <f t="shared" si="18"/>
        <v>3</v>
      </c>
      <c r="BL48" s="537">
        <f t="shared" si="18"/>
        <v>3</v>
      </c>
      <c r="BM48" s="537">
        <f t="shared" si="18"/>
        <v>3</v>
      </c>
      <c r="BN48" s="537">
        <f t="shared" si="18"/>
        <v>3</v>
      </c>
      <c r="BO48" s="537">
        <f t="shared" si="18"/>
        <v>3</v>
      </c>
      <c r="BP48" s="537">
        <f t="shared" si="18"/>
        <v>3</v>
      </c>
      <c r="BQ48" s="537">
        <f t="shared" si="18"/>
        <v>3</v>
      </c>
      <c r="BR48" s="537">
        <f t="shared" si="18"/>
        <v>3</v>
      </c>
      <c r="BS48" s="537">
        <f t="shared" si="18"/>
        <v>3</v>
      </c>
      <c r="BT48" s="537">
        <f t="shared" si="18"/>
        <v>3</v>
      </c>
      <c r="BU48" s="537">
        <f t="shared" si="18"/>
        <v>3</v>
      </c>
      <c r="BV48" s="537">
        <f t="shared" si="18"/>
        <v>3</v>
      </c>
      <c r="BW48" s="537">
        <f t="shared" si="18"/>
        <v>3</v>
      </c>
      <c r="BX48" s="537">
        <f t="shared" si="18"/>
        <v>3</v>
      </c>
      <c r="BY48" s="537">
        <f t="shared" si="18"/>
        <v>3</v>
      </c>
      <c r="BZ48" s="537">
        <f t="shared" si="18"/>
        <v>3</v>
      </c>
      <c r="CA48" s="537">
        <f t="shared" si="18"/>
        <v>3</v>
      </c>
      <c r="CB48" s="537">
        <f t="shared" si="18"/>
        <v>3</v>
      </c>
      <c r="CC48" s="537">
        <f t="shared" si="18"/>
        <v>3</v>
      </c>
      <c r="CD48" s="537">
        <f t="shared" si="18"/>
        <v>3</v>
      </c>
      <c r="CE48" s="537">
        <f t="shared" si="18"/>
        <v>3</v>
      </c>
      <c r="CF48" s="537">
        <f t="shared" si="18"/>
        <v>3</v>
      </c>
      <c r="CG48" s="537">
        <f t="shared" si="18"/>
        <v>3</v>
      </c>
      <c r="CH48" s="537">
        <f t="shared" si="18"/>
        <v>3</v>
      </c>
      <c r="CI48" s="537">
        <f t="shared" si="18"/>
        <v>3</v>
      </c>
      <c r="CJ48" s="537">
        <f t="shared" si="18"/>
        <v>3</v>
      </c>
      <c r="CK48" s="537">
        <f t="shared" si="18"/>
        <v>3</v>
      </c>
      <c r="CL48" s="537">
        <f t="shared" si="18"/>
        <v>3</v>
      </c>
      <c r="CM48" s="537">
        <f t="shared" si="18"/>
        <v>3</v>
      </c>
      <c r="CN48" s="537">
        <f t="shared" si="18"/>
        <v>3</v>
      </c>
      <c r="CO48" s="537">
        <f t="shared" si="18"/>
        <v>3</v>
      </c>
      <c r="CP48" s="537">
        <f t="shared" si="18"/>
        <v>3</v>
      </c>
      <c r="CQ48" s="537">
        <f t="shared" si="18"/>
        <v>3</v>
      </c>
      <c r="CR48" s="537">
        <f t="shared" si="18"/>
        <v>3</v>
      </c>
      <c r="CS48" s="537">
        <f t="shared" si="18"/>
        <v>3</v>
      </c>
      <c r="CT48" s="537">
        <f t="shared" si="18"/>
        <v>3</v>
      </c>
      <c r="CU48" s="537">
        <f t="shared" si="18"/>
        <v>3</v>
      </c>
      <c r="CV48" s="537">
        <f t="shared" si="18"/>
        <v>3</v>
      </c>
      <c r="CW48" s="537">
        <f t="shared" si="18"/>
        <v>3</v>
      </c>
      <c r="CX48" s="537">
        <f t="shared" si="18"/>
        <v>3</v>
      </c>
      <c r="CY48" s="537">
        <f t="shared" si="18"/>
        <v>3</v>
      </c>
      <c r="CZ48" s="537">
        <f t="shared" si="18"/>
        <v>3</v>
      </c>
      <c r="DA48" s="537">
        <f t="shared" si="18"/>
        <v>3</v>
      </c>
      <c r="DB48" s="537">
        <f t="shared" si="18"/>
        <v>3</v>
      </c>
      <c r="DC48" s="537">
        <f t="shared" si="18"/>
        <v>3</v>
      </c>
      <c r="DD48" s="537">
        <f t="shared" si="18"/>
        <v>3</v>
      </c>
      <c r="DE48" s="537">
        <f t="shared" si="18"/>
        <v>3</v>
      </c>
      <c r="DF48" s="537">
        <f t="shared" si="18"/>
        <v>3</v>
      </c>
      <c r="DG48" s="537">
        <f t="shared" si="18"/>
        <v>3</v>
      </c>
      <c r="DH48" s="537">
        <f t="shared" si="18"/>
        <v>3</v>
      </c>
      <c r="DI48" s="537">
        <f t="shared" si="18"/>
        <v>3</v>
      </c>
      <c r="DJ48" s="537">
        <f t="shared" si="18"/>
        <v>3</v>
      </c>
      <c r="DK48" s="537">
        <f t="shared" si="18"/>
        <v>3</v>
      </c>
      <c r="DL48" s="537">
        <f t="shared" si="18"/>
        <v>3</v>
      </c>
      <c r="DM48" s="537">
        <f t="shared" si="18"/>
        <v>3</v>
      </c>
      <c r="DN48" s="537">
        <f t="shared" si="18"/>
        <v>3</v>
      </c>
      <c r="DO48" s="537">
        <f t="shared" si="18"/>
        <v>3</v>
      </c>
      <c r="DP48" s="537">
        <f t="shared" si="18"/>
        <v>3</v>
      </c>
      <c r="DQ48" s="537">
        <f t="shared" si="18"/>
        <v>3</v>
      </c>
      <c r="DR48" s="537">
        <f t="shared" si="18"/>
        <v>3</v>
      </c>
      <c r="DS48" s="537">
        <f t="shared" si="18"/>
        <v>3</v>
      </c>
      <c r="DT48" s="537">
        <f t="shared" si="18"/>
        <v>3</v>
      </c>
      <c r="DU48" s="537">
        <f t="shared" si="18"/>
        <v>3</v>
      </c>
      <c r="DV48" s="537">
        <f t="shared" si="18"/>
        <v>3</v>
      </c>
      <c r="DW48" s="537">
        <f t="shared" si="18"/>
        <v>3</v>
      </c>
      <c r="DX48" s="537">
        <f t="shared" si="18"/>
        <v>3</v>
      </c>
      <c r="DY48" s="537">
        <f t="shared" si="18"/>
        <v>3</v>
      </c>
      <c r="DZ48" s="537">
        <f t="shared" si="18"/>
        <v>3</v>
      </c>
      <c r="EA48" s="537">
        <f t="shared" si="18"/>
        <v>3</v>
      </c>
      <c r="EB48" s="537">
        <f t="shared" si="18"/>
        <v>3</v>
      </c>
      <c r="EC48" s="537">
        <f t="shared" si="18"/>
        <v>3</v>
      </c>
      <c r="ED48" s="537">
        <f t="shared" si="18"/>
        <v>3</v>
      </c>
      <c r="EE48" s="537">
        <f t="shared" si="18"/>
        <v>3</v>
      </c>
      <c r="EF48" s="537">
        <f t="shared" si="18"/>
        <v>3</v>
      </c>
      <c r="EG48" s="537">
        <f t="shared" si="18"/>
        <v>3</v>
      </c>
      <c r="EH48" s="537">
        <f t="shared" si="18"/>
        <v>3</v>
      </c>
      <c r="EI48" s="537">
        <f t="shared" si="18"/>
        <v>3</v>
      </c>
      <c r="EJ48" s="537">
        <f t="shared" si="18"/>
        <v>3</v>
      </c>
      <c r="EK48" s="537">
        <f t="shared" si="18"/>
        <v>3</v>
      </c>
      <c r="EL48" s="537">
        <f t="shared" si="18"/>
        <v>3</v>
      </c>
      <c r="EM48" s="537">
        <f t="shared" si="18"/>
        <v>3</v>
      </c>
      <c r="EN48" s="537">
        <f t="shared" si="18"/>
        <v>3</v>
      </c>
      <c r="EO48" s="537">
        <f t="shared" si="18"/>
        <v>3</v>
      </c>
      <c r="EP48" s="537">
        <f t="shared" si="18"/>
        <v>3</v>
      </c>
      <c r="EQ48" s="537">
        <f t="shared" si="18"/>
        <v>3</v>
      </c>
      <c r="ER48" s="537">
        <f t="shared" si="18"/>
        <v>3</v>
      </c>
      <c r="ES48" s="537">
        <f t="shared" si="18"/>
        <v>3</v>
      </c>
      <c r="ET48" s="537">
        <f t="shared" si="18"/>
        <v>3</v>
      </c>
      <c r="EU48" s="537">
        <f t="shared" si="18"/>
        <v>3</v>
      </c>
      <c r="EV48" s="537">
        <f t="shared" si="18"/>
        <v>3</v>
      </c>
      <c r="EW48" s="537">
        <f t="shared" si="18"/>
        <v>3</v>
      </c>
      <c r="EX48" s="537">
        <f t="shared" si="18"/>
        <v>3</v>
      </c>
      <c r="EY48" s="537">
        <f t="shared" si="18"/>
        <v>3</v>
      </c>
      <c r="EZ48" s="537">
        <f t="shared" si="18"/>
        <v>3</v>
      </c>
      <c r="FA48" s="537">
        <f t="shared" si="18"/>
        <v>3</v>
      </c>
      <c r="FB48" s="537">
        <f t="shared" si="18"/>
        <v>3</v>
      </c>
      <c r="FC48" s="537">
        <f t="shared" si="18"/>
        <v>3</v>
      </c>
      <c r="FD48" s="537">
        <f t="shared" si="18"/>
        <v>3</v>
      </c>
      <c r="FE48" s="537">
        <f t="shared" si="18"/>
        <v>3</v>
      </c>
      <c r="FF48" s="537">
        <f t="shared" si="18"/>
        <v>3</v>
      </c>
      <c r="FG48" s="537">
        <f t="shared" si="18"/>
        <v>3</v>
      </c>
      <c r="FH48" s="537">
        <f t="shared" si="18"/>
        <v>3</v>
      </c>
      <c r="FI48" s="537">
        <f t="shared" si="18"/>
        <v>3</v>
      </c>
      <c r="FJ48" s="537">
        <f t="shared" si="18"/>
        <v>3</v>
      </c>
      <c r="FK48" s="537">
        <f t="shared" si="18"/>
        <v>3</v>
      </c>
      <c r="FL48" s="537">
        <f t="shared" si="18"/>
        <v>3</v>
      </c>
      <c r="FM48" s="537">
        <f t="shared" si="18"/>
        <v>3</v>
      </c>
      <c r="FN48" s="537">
        <f t="shared" si="18"/>
        <v>3</v>
      </c>
      <c r="FO48" s="537">
        <f t="shared" si="18"/>
        <v>3</v>
      </c>
      <c r="FP48" s="537">
        <f t="shared" si="18"/>
        <v>3</v>
      </c>
      <c r="FQ48" s="537">
        <f t="shared" si="18"/>
        <v>3</v>
      </c>
      <c r="FR48" s="537">
        <f t="shared" si="18"/>
        <v>3</v>
      </c>
      <c r="FS48" s="537">
        <f t="shared" si="18"/>
        <v>3</v>
      </c>
      <c r="FT48" s="537">
        <f t="shared" si="18"/>
        <v>3</v>
      </c>
      <c r="FU48" s="537">
        <f t="shared" si="18"/>
        <v>3</v>
      </c>
      <c r="FV48" s="537">
        <f t="shared" si="18"/>
        <v>3</v>
      </c>
      <c r="FW48" s="537">
        <f t="shared" si="18"/>
        <v>3</v>
      </c>
      <c r="FX48" s="537">
        <f t="shared" si="18"/>
        <v>3</v>
      </c>
      <c r="FY48" s="537">
        <f t="shared" si="18"/>
        <v>3</v>
      </c>
      <c r="FZ48" s="537">
        <f t="shared" si="18"/>
        <v>3</v>
      </c>
      <c r="GA48" s="537">
        <f t="shared" si="18"/>
        <v>3</v>
      </c>
      <c r="GB48" s="537">
        <f t="shared" si="18"/>
        <v>3</v>
      </c>
      <c r="GC48" s="537">
        <f t="shared" si="18"/>
        <v>3</v>
      </c>
      <c r="GD48" s="537">
        <f t="shared" si="18"/>
        <v>3</v>
      </c>
      <c r="GE48" s="537">
        <f t="shared" si="18"/>
        <v>3</v>
      </c>
      <c r="GF48" s="537">
        <f t="shared" si="18"/>
        <v>3</v>
      </c>
      <c r="GG48" s="537">
        <f t="shared" si="18"/>
        <v>3</v>
      </c>
      <c r="GH48" s="537">
        <f t="shared" si="18"/>
        <v>3</v>
      </c>
      <c r="GI48" s="537">
        <f t="shared" si="18"/>
        <v>3</v>
      </c>
      <c r="GJ48" s="537">
        <f t="shared" si="18"/>
        <v>3</v>
      </c>
    </row>
    <row r="49" spans="5:192" ht="12.75">
      <c r="E49" s="535" t="str">
        <f>E$45</f>
        <v>Model period beginning</v>
      </c>
      <c r="G49" s="540" t="str">
        <f>G$45</f>
        <v>date</v>
      </c>
      <c r="J49" s="540">
        <f t="shared" si="19" ref="J49:GJ49">J$45</f>
        <v>46023</v>
      </c>
      <c r="K49" s="540">
        <f t="shared" si="19"/>
        <v>46054</v>
      </c>
      <c r="L49" s="540">
        <f t="shared" si="19"/>
        <v>46082</v>
      </c>
      <c r="M49" s="540">
        <f t="shared" si="19"/>
        <v>46113</v>
      </c>
      <c r="N49" s="540">
        <f t="shared" si="19"/>
        <v>46143</v>
      </c>
      <c r="O49" s="540">
        <f t="shared" si="19"/>
        <v>46174</v>
      </c>
      <c r="P49" s="540">
        <f t="shared" si="19"/>
        <v>46204</v>
      </c>
      <c r="Q49" s="540">
        <f t="shared" si="19"/>
        <v>46235</v>
      </c>
      <c r="R49" s="540">
        <f t="shared" si="19"/>
        <v>46266</v>
      </c>
      <c r="S49" s="540">
        <f t="shared" si="19"/>
        <v>46296</v>
      </c>
      <c r="T49" s="540">
        <f t="shared" si="19"/>
        <v>46327</v>
      </c>
      <c r="U49" s="540">
        <f t="shared" si="19"/>
        <v>46357</v>
      </c>
      <c r="V49" s="540">
        <f t="shared" si="19"/>
        <v>46388</v>
      </c>
      <c r="W49" s="540">
        <f t="shared" si="19"/>
        <v>46419</v>
      </c>
      <c r="X49" s="540">
        <f t="shared" si="19"/>
        <v>46447</v>
      </c>
      <c r="Y49" s="540">
        <f t="shared" si="19"/>
        <v>46478</v>
      </c>
      <c r="Z49" s="540">
        <f t="shared" si="19"/>
        <v>46508</v>
      </c>
      <c r="AA49" s="540">
        <f t="shared" si="19"/>
        <v>46539</v>
      </c>
      <c r="AB49" s="540">
        <f t="shared" si="19"/>
        <v>46569</v>
      </c>
      <c r="AC49" s="540">
        <f t="shared" si="19"/>
        <v>46600</v>
      </c>
      <c r="AD49" s="540">
        <f t="shared" si="19"/>
        <v>46631</v>
      </c>
      <c r="AE49" s="540">
        <f t="shared" si="19"/>
        <v>46661</v>
      </c>
      <c r="AF49" s="540">
        <f t="shared" si="19"/>
        <v>46692</v>
      </c>
      <c r="AG49" s="540">
        <f t="shared" si="19"/>
        <v>46722</v>
      </c>
      <c r="AH49" s="540">
        <f t="shared" si="19"/>
        <v>46753</v>
      </c>
      <c r="AI49" s="540">
        <f t="shared" si="19"/>
        <v>46784</v>
      </c>
      <c r="AJ49" s="540">
        <f t="shared" si="19"/>
        <v>46813</v>
      </c>
      <c r="AK49" s="540">
        <f t="shared" si="19"/>
        <v>46844</v>
      </c>
      <c r="AL49" s="540">
        <f t="shared" si="19"/>
        <v>46874</v>
      </c>
      <c r="AM49" s="540">
        <f t="shared" si="19"/>
        <v>46905</v>
      </c>
      <c r="AN49" s="540">
        <f t="shared" si="19"/>
        <v>46935</v>
      </c>
      <c r="AO49" s="540">
        <f t="shared" si="19"/>
        <v>47027</v>
      </c>
      <c r="AP49" s="540">
        <f t="shared" si="19"/>
        <v>47119</v>
      </c>
      <c r="AQ49" s="540">
        <f t="shared" si="19"/>
        <v>47209</v>
      </c>
      <c r="AR49" s="540">
        <f t="shared" si="19"/>
        <v>47300</v>
      </c>
      <c r="AS49" s="540">
        <f t="shared" si="19"/>
        <v>47392</v>
      </c>
      <c r="AT49" s="540">
        <f t="shared" si="19"/>
        <v>47484</v>
      </c>
      <c r="AU49" s="540">
        <f t="shared" si="19"/>
        <v>47574</v>
      </c>
      <c r="AV49" s="540">
        <f t="shared" si="19"/>
        <v>47665</v>
      </c>
      <c r="AW49" s="540">
        <f t="shared" si="19"/>
        <v>47757</v>
      </c>
      <c r="AX49" s="540">
        <f t="shared" si="19"/>
        <v>47849</v>
      </c>
      <c r="AY49" s="540">
        <f t="shared" si="19"/>
        <v>47939</v>
      </c>
      <c r="AZ49" s="540">
        <f t="shared" si="19"/>
        <v>48030</v>
      </c>
      <c r="BA49" s="540">
        <f t="shared" si="19"/>
        <v>48122</v>
      </c>
      <c r="BB49" s="540">
        <f t="shared" si="19"/>
        <v>48214</v>
      </c>
      <c r="BC49" s="540">
        <f t="shared" si="19"/>
        <v>48305</v>
      </c>
      <c r="BD49" s="540">
        <f t="shared" si="19"/>
        <v>48396</v>
      </c>
      <c r="BE49" s="540">
        <f t="shared" si="19"/>
        <v>48488</v>
      </c>
      <c r="BF49" s="540">
        <f t="shared" si="19"/>
        <v>48580</v>
      </c>
      <c r="BG49" s="540">
        <f t="shared" si="19"/>
        <v>48670</v>
      </c>
      <c r="BH49" s="540">
        <f t="shared" si="19"/>
        <v>48761</v>
      </c>
      <c r="BI49" s="540">
        <f t="shared" si="19"/>
        <v>48853</v>
      </c>
      <c r="BJ49" s="540">
        <f t="shared" si="19"/>
        <v>48945</v>
      </c>
      <c r="BK49" s="540">
        <f t="shared" si="19"/>
        <v>49035</v>
      </c>
      <c r="BL49" s="540">
        <f t="shared" si="19"/>
        <v>49126</v>
      </c>
      <c r="BM49" s="540">
        <f t="shared" si="19"/>
        <v>49218</v>
      </c>
      <c r="BN49" s="540">
        <f t="shared" si="19"/>
        <v>49310</v>
      </c>
      <c r="BO49" s="540">
        <f t="shared" si="19"/>
        <v>49400</v>
      </c>
      <c r="BP49" s="540">
        <f t="shared" si="19"/>
        <v>49491</v>
      </c>
      <c r="BQ49" s="540">
        <f t="shared" si="19"/>
        <v>49583</v>
      </c>
      <c r="BR49" s="540">
        <f t="shared" si="19"/>
        <v>49675</v>
      </c>
      <c r="BS49" s="540">
        <f t="shared" si="19"/>
        <v>49766</v>
      </c>
      <c r="BT49" s="540">
        <f t="shared" si="19"/>
        <v>49857</v>
      </c>
      <c r="BU49" s="540">
        <f t="shared" si="19"/>
        <v>49949</v>
      </c>
      <c r="BV49" s="540">
        <f t="shared" si="19"/>
        <v>50041</v>
      </c>
      <c r="BW49" s="540">
        <f t="shared" si="19"/>
        <v>50131</v>
      </c>
      <c r="BX49" s="540">
        <f t="shared" si="19"/>
        <v>50222</v>
      </c>
      <c r="BY49" s="540">
        <f t="shared" si="19"/>
        <v>50314</v>
      </c>
      <c r="BZ49" s="540">
        <f t="shared" si="19"/>
        <v>50406</v>
      </c>
      <c r="CA49" s="540">
        <f t="shared" si="19"/>
        <v>50496</v>
      </c>
      <c r="CB49" s="540">
        <f t="shared" si="19"/>
        <v>50587</v>
      </c>
      <c r="CC49" s="540">
        <f t="shared" si="19"/>
        <v>50679</v>
      </c>
      <c r="CD49" s="540">
        <f t="shared" si="19"/>
        <v>50771</v>
      </c>
      <c r="CE49" s="540">
        <f t="shared" si="19"/>
        <v>50861</v>
      </c>
      <c r="CF49" s="540">
        <f t="shared" si="19"/>
        <v>50952</v>
      </c>
      <c r="CG49" s="540">
        <f t="shared" si="19"/>
        <v>51044</v>
      </c>
      <c r="CH49" s="540">
        <f t="shared" si="19"/>
        <v>51136</v>
      </c>
      <c r="CI49" s="540">
        <f t="shared" si="19"/>
        <v>51227</v>
      </c>
      <c r="CJ49" s="540">
        <f t="shared" si="19"/>
        <v>51318</v>
      </c>
      <c r="CK49" s="540">
        <f t="shared" si="19"/>
        <v>51410</v>
      </c>
      <c r="CL49" s="540">
        <f t="shared" si="19"/>
        <v>51502</v>
      </c>
      <c r="CM49" s="540">
        <f t="shared" si="19"/>
        <v>51592</v>
      </c>
      <c r="CN49" s="540">
        <f t="shared" si="19"/>
        <v>51683</v>
      </c>
      <c r="CO49" s="540">
        <f t="shared" si="19"/>
        <v>51775</v>
      </c>
      <c r="CP49" s="540">
        <f t="shared" si="19"/>
        <v>51867</v>
      </c>
      <c r="CQ49" s="540">
        <f t="shared" si="19"/>
        <v>51957</v>
      </c>
      <c r="CR49" s="540">
        <f t="shared" si="19"/>
        <v>52048</v>
      </c>
      <c r="CS49" s="540">
        <f t="shared" si="19"/>
        <v>52140</v>
      </c>
      <c r="CT49" s="540">
        <f t="shared" si="19"/>
        <v>52232</v>
      </c>
      <c r="CU49" s="540">
        <f t="shared" si="19"/>
        <v>52322</v>
      </c>
      <c r="CV49" s="540">
        <f t="shared" si="19"/>
        <v>52413</v>
      </c>
      <c r="CW49" s="540">
        <f t="shared" si="19"/>
        <v>52505</v>
      </c>
      <c r="CX49" s="540">
        <f t="shared" si="19"/>
        <v>52597</v>
      </c>
      <c r="CY49" s="540">
        <f t="shared" si="19"/>
        <v>52688</v>
      </c>
      <c r="CZ49" s="540">
        <f t="shared" si="19"/>
        <v>52779</v>
      </c>
      <c r="DA49" s="540">
        <f t="shared" si="19"/>
        <v>52871</v>
      </c>
      <c r="DB49" s="540">
        <f t="shared" si="19"/>
        <v>52963</v>
      </c>
      <c r="DC49" s="540">
        <f t="shared" si="19"/>
        <v>53053</v>
      </c>
      <c r="DD49" s="540">
        <f t="shared" si="19"/>
        <v>53144</v>
      </c>
      <c r="DE49" s="540">
        <f t="shared" si="19"/>
        <v>53236</v>
      </c>
      <c r="DF49" s="540">
        <f t="shared" si="19"/>
        <v>53328</v>
      </c>
      <c r="DG49" s="540">
        <f t="shared" si="19"/>
        <v>53418</v>
      </c>
      <c r="DH49" s="540">
        <f t="shared" si="19"/>
        <v>53509</v>
      </c>
      <c r="DI49" s="540">
        <f t="shared" si="19"/>
        <v>53601</v>
      </c>
      <c r="DJ49" s="540">
        <f t="shared" si="19"/>
        <v>53693</v>
      </c>
      <c r="DK49" s="540">
        <f t="shared" si="19"/>
        <v>53783</v>
      </c>
      <c r="DL49" s="540">
        <f t="shared" si="19"/>
        <v>53874</v>
      </c>
      <c r="DM49" s="540">
        <f t="shared" si="19"/>
        <v>53966</v>
      </c>
      <c r="DN49" s="540">
        <f t="shared" si="19"/>
        <v>54058</v>
      </c>
      <c r="DO49" s="540">
        <f t="shared" si="19"/>
        <v>54149</v>
      </c>
      <c r="DP49" s="540">
        <f t="shared" si="19"/>
        <v>54240</v>
      </c>
      <c r="DQ49" s="540">
        <f t="shared" si="19"/>
        <v>54332</v>
      </c>
      <c r="DR49" s="540">
        <f t="shared" si="19"/>
        <v>54424</v>
      </c>
      <c r="DS49" s="540">
        <f t="shared" si="19"/>
        <v>54514</v>
      </c>
      <c r="DT49" s="540">
        <f t="shared" si="19"/>
        <v>54605</v>
      </c>
      <c r="DU49" s="540">
        <f t="shared" si="19"/>
        <v>54697</v>
      </c>
      <c r="DV49" s="540">
        <f t="shared" si="19"/>
        <v>54789</v>
      </c>
      <c r="DW49" s="540">
        <f t="shared" si="19"/>
        <v>54879</v>
      </c>
      <c r="DX49" s="540">
        <f t="shared" si="19"/>
        <v>54970</v>
      </c>
      <c r="DY49" s="540">
        <f t="shared" si="19"/>
        <v>55062</v>
      </c>
      <c r="DZ49" s="540">
        <f t="shared" si="19"/>
        <v>55154</v>
      </c>
      <c r="EA49" s="540">
        <f t="shared" si="19"/>
        <v>55244</v>
      </c>
      <c r="EB49" s="540">
        <f t="shared" si="19"/>
        <v>55335</v>
      </c>
      <c r="EC49" s="540">
        <f t="shared" si="19"/>
        <v>55427</v>
      </c>
      <c r="ED49" s="540">
        <f t="shared" si="19"/>
        <v>55519</v>
      </c>
      <c r="EE49" s="540">
        <f t="shared" si="19"/>
        <v>55610</v>
      </c>
      <c r="EF49" s="540">
        <f t="shared" si="19"/>
        <v>55701</v>
      </c>
      <c r="EG49" s="540">
        <f t="shared" si="19"/>
        <v>55793</v>
      </c>
      <c r="EH49" s="540">
        <f t="shared" si="19"/>
        <v>55885</v>
      </c>
      <c r="EI49" s="540">
        <f t="shared" si="19"/>
        <v>55975</v>
      </c>
      <c r="EJ49" s="540">
        <f t="shared" si="19"/>
        <v>56066</v>
      </c>
      <c r="EK49" s="540">
        <f t="shared" si="19"/>
        <v>56158</v>
      </c>
      <c r="EL49" s="540">
        <f t="shared" si="19"/>
        <v>56250</v>
      </c>
      <c r="EM49" s="540">
        <f t="shared" si="19"/>
        <v>56340</v>
      </c>
      <c r="EN49" s="540">
        <f t="shared" si="19"/>
        <v>56431</v>
      </c>
      <c r="EO49" s="540">
        <f t="shared" si="19"/>
        <v>56523</v>
      </c>
      <c r="EP49" s="540">
        <f t="shared" si="19"/>
        <v>56615</v>
      </c>
      <c r="EQ49" s="540">
        <f t="shared" si="19"/>
        <v>56705</v>
      </c>
      <c r="ER49" s="540">
        <f t="shared" si="19"/>
        <v>56796</v>
      </c>
      <c r="ES49" s="540">
        <f t="shared" si="19"/>
        <v>56888</v>
      </c>
      <c r="ET49" s="540">
        <f t="shared" si="19"/>
        <v>56980</v>
      </c>
      <c r="EU49" s="540">
        <f t="shared" si="19"/>
        <v>57071</v>
      </c>
      <c r="EV49" s="540">
        <f t="shared" si="19"/>
        <v>57162</v>
      </c>
      <c r="EW49" s="540">
        <f t="shared" si="19"/>
        <v>57254</v>
      </c>
      <c r="EX49" s="540">
        <f t="shared" si="19"/>
        <v>57346</v>
      </c>
      <c r="EY49" s="540">
        <f t="shared" si="19"/>
        <v>57436</v>
      </c>
      <c r="EZ49" s="540">
        <f t="shared" si="19"/>
        <v>57527</v>
      </c>
      <c r="FA49" s="540">
        <f t="shared" si="19"/>
        <v>57619</v>
      </c>
      <c r="FB49" s="540">
        <f t="shared" si="19"/>
        <v>57711</v>
      </c>
      <c r="FC49" s="540">
        <f t="shared" si="19"/>
        <v>57801</v>
      </c>
      <c r="FD49" s="540">
        <f t="shared" si="19"/>
        <v>57892</v>
      </c>
      <c r="FE49" s="540">
        <f t="shared" si="19"/>
        <v>57984</v>
      </c>
      <c r="FF49" s="540">
        <f t="shared" si="19"/>
        <v>58076</v>
      </c>
      <c r="FG49" s="540">
        <f t="shared" si="19"/>
        <v>58166</v>
      </c>
      <c r="FH49" s="540">
        <f t="shared" si="19"/>
        <v>58257</v>
      </c>
      <c r="FI49" s="540">
        <f t="shared" si="19"/>
        <v>58349</v>
      </c>
      <c r="FJ49" s="540">
        <f t="shared" si="19"/>
        <v>58441</v>
      </c>
      <c r="FK49" s="540">
        <f t="shared" si="19"/>
        <v>58532</v>
      </c>
      <c r="FL49" s="540">
        <f t="shared" si="19"/>
        <v>58623</v>
      </c>
      <c r="FM49" s="540">
        <f t="shared" si="19"/>
        <v>58715</v>
      </c>
      <c r="FN49" s="540">
        <f t="shared" si="19"/>
        <v>58807</v>
      </c>
      <c r="FO49" s="540">
        <f t="shared" si="19"/>
        <v>58897</v>
      </c>
      <c r="FP49" s="540">
        <f t="shared" si="19"/>
        <v>58988</v>
      </c>
      <c r="FQ49" s="540">
        <f t="shared" si="19"/>
        <v>59080</v>
      </c>
      <c r="FR49" s="540">
        <f t="shared" si="19"/>
        <v>59172</v>
      </c>
      <c r="FS49" s="540">
        <f t="shared" si="19"/>
        <v>59262</v>
      </c>
      <c r="FT49" s="540">
        <f t="shared" si="19"/>
        <v>59353</v>
      </c>
      <c r="FU49" s="540">
        <f t="shared" si="19"/>
        <v>59445</v>
      </c>
      <c r="FV49" s="540">
        <f t="shared" si="19"/>
        <v>59537</v>
      </c>
      <c r="FW49" s="540">
        <f t="shared" si="19"/>
        <v>59627</v>
      </c>
      <c r="FX49" s="540">
        <f t="shared" si="19"/>
        <v>59718</v>
      </c>
      <c r="FY49" s="540">
        <f t="shared" si="19"/>
        <v>59810</v>
      </c>
      <c r="FZ49" s="540">
        <f t="shared" si="19"/>
        <v>59902</v>
      </c>
      <c r="GA49" s="540">
        <f t="shared" si="19"/>
        <v>59993</v>
      </c>
      <c r="GB49" s="540">
        <f t="shared" si="19"/>
        <v>60084</v>
      </c>
      <c r="GC49" s="540">
        <f t="shared" si="19"/>
        <v>60176</v>
      </c>
      <c r="GD49" s="540">
        <f t="shared" si="19"/>
        <v>60268</v>
      </c>
      <c r="GE49" s="540">
        <f t="shared" si="19"/>
        <v>60358</v>
      </c>
      <c r="GF49" s="540">
        <f t="shared" si="19"/>
        <v>60449</v>
      </c>
      <c r="GG49" s="540">
        <f t="shared" si="19"/>
        <v>60541</v>
      </c>
      <c r="GH49" s="540">
        <f t="shared" si="19"/>
        <v>60633</v>
      </c>
      <c r="GI49" s="540">
        <f t="shared" si="19"/>
        <v>60723</v>
      </c>
      <c r="GJ49" s="540">
        <f t="shared" si="19"/>
        <v>60814</v>
      </c>
    </row>
    <row r="50" spans="5:192" ht="12.75">
      <c r="E50" s="535" t="s">
        <v>38</v>
      </c>
      <c r="G50" s="540" t="s">
        <v>14</v>
      </c>
      <c r="J50" s="540">
        <f t="shared" si="20" ref="J50:GJ50">EOMONTH(J49,J48-1)</f>
        <v>46053</v>
      </c>
      <c r="K50" s="540">
        <f t="shared" si="20"/>
        <v>46081</v>
      </c>
      <c r="L50" s="540">
        <f t="shared" si="20"/>
        <v>46112</v>
      </c>
      <c r="M50" s="540">
        <f t="shared" si="20"/>
        <v>46142</v>
      </c>
      <c r="N50" s="540">
        <f t="shared" si="20"/>
        <v>46173</v>
      </c>
      <c r="O50" s="540">
        <f t="shared" si="20"/>
        <v>46203</v>
      </c>
      <c r="P50" s="540">
        <f t="shared" si="20"/>
        <v>46234</v>
      </c>
      <c r="Q50" s="540">
        <f t="shared" si="20"/>
        <v>46265</v>
      </c>
      <c r="R50" s="540">
        <f t="shared" si="20"/>
        <v>46295</v>
      </c>
      <c r="S50" s="540">
        <f t="shared" si="20"/>
        <v>46326</v>
      </c>
      <c r="T50" s="540">
        <f t="shared" si="20"/>
        <v>46356</v>
      </c>
      <c r="U50" s="540">
        <f t="shared" si="20"/>
        <v>46387</v>
      </c>
      <c r="V50" s="540">
        <f t="shared" si="20"/>
        <v>46418</v>
      </c>
      <c r="W50" s="540">
        <f t="shared" si="20"/>
        <v>46446</v>
      </c>
      <c r="X50" s="540">
        <f t="shared" si="20"/>
        <v>46477</v>
      </c>
      <c r="Y50" s="540">
        <f t="shared" si="20"/>
        <v>46507</v>
      </c>
      <c r="Z50" s="540">
        <f t="shared" si="20"/>
        <v>46538</v>
      </c>
      <c r="AA50" s="540">
        <f t="shared" si="20"/>
        <v>46568</v>
      </c>
      <c r="AB50" s="540">
        <f t="shared" si="20"/>
        <v>46599</v>
      </c>
      <c r="AC50" s="540">
        <f t="shared" si="20"/>
        <v>46630</v>
      </c>
      <c r="AD50" s="540">
        <f t="shared" si="20"/>
        <v>46660</v>
      </c>
      <c r="AE50" s="540">
        <f t="shared" si="20"/>
        <v>46691</v>
      </c>
      <c r="AF50" s="540">
        <f t="shared" si="20"/>
        <v>46721</v>
      </c>
      <c r="AG50" s="540">
        <f t="shared" si="20"/>
        <v>46752</v>
      </c>
      <c r="AH50" s="540">
        <f t="shared" si="20"/>
        <v>46783</v>
      </c>
      <c r="AI50" s="540">
        <f t="shared" si="20"/>
        <v>46812</v>
      </c>
      <c r="AJ50" s="540">
        <f t="shared" si="20"/>
        <v>46843</v>
      </c>
      <c r="AK50" s="540">
        <f t="shared" si="20"/>
        <v>46873</v>
      </c>
      <c r="AL50" s="540">
        <f t="shared" si="20"/>
        <v>46904</v>
      </c>
      <c r="AM50" s="540">
        <f t="shared" si="20"/>
        <v>46934</v>
      </c>
      <c r="AN50" s="540">
        <f t="shared" si="20"/>
        <v>47026</v>
      </c>
      <c r="AO50" s="540">
        <f t="shared" si="20"/>
        <v>47118</v>
      </c>
      <c r="AP50" s="540">
        <f t="shared" si="20"/>
        <v>47208</v>
      </c>
      <c r="AQ50" s="540">
        <f t="shared" si="20"/>
        <v>47299</v>
      </c>
      <c r="AR50" s="540">
        <f t="shared" si="20"/>
        <v>47391</v>
      </c>
      <c r="AS50" s="540">
        <f t="shared" si="20"/>
        <v>47483</v>
      </c>
      <c r="AT50" s="540">
        <f t="shared" si="20"/>
        <v>47573</v>
      </c>
      <c r="AU50" s="540">
        <f t="shared" si="20"/>
        <v>47664</v>
      </c>
      <c r="AV50" s="540">
        <f t="shared" si="20"/>
        <v>47756</v>
      </c>
      <c r="AW50" s="540">
        <f t="shared" si="20"/>
        <v>47848</v>
      </c>
      <c r="AX50" s="540">
        <f t="shared" si="20"/>
        <v>47938</v>
      </c>
      <c r="AY50" s="540">
        <f t="shared" si="20"/>
        <v>48029</v>
      </c>
      <c r="AZ50" s="540">
        <f t="shared" si="20"/>
        <v>48121</v>
      </c>
      <c r="BA50" s="540">
        <f t="shared" si="20"/>
        <v>48213</v>
      </c>
      <c r="BB50" s="540">
        <f t="shared" si="20"/>
        <v>48304</v>
      </c>
      <c r="BC50" s="540">
        <f t="shared" si="20"/>
        <v>48395</v>
      </c>
      <c r="BD50" s="540">
        <f t="shared" si="20"/>
        <v>48487</v>
      </c>
      <c r="BE50" s="540">
        <f t="shared" si="20"/>
        <v>48579</v>
      </c>
      <c r="BF50" s="540">
        <f t="shared" si="20"/>
        <v>48669</v>
      </c>
      <c r="BG50" s="540">
        <f t="shared" si="20"/>
        <v>48760</v>
      </c>
      <c r="BH50" s="540">
        <f t="shared" si="20"/>
        <v>48852</v>
      </c>
      <c r="BI50" s="540">
        <f t="shared" si="20"/>
        <v>48944</v>
      </c>
      <c r="BJ50" s="540">
        <f t="shared" si="20"/>
        <v>49034</v>
      </c>
      <c r="BK50" s="540">
        <f t="shared" si="20"/>
        <v>49125</v>
      </c>
      <c r="BL50" s="540">
        <f t="shared" si="20"/>
        <v>49217</v>
      </c>
      <c r="BM50" s="540">
        <f t="shared" si="20"/>
        <v>49309</v>
      </c>
      <c r="BN50" s="540">
        <f t="shared" si="20"/>
        <v>49399</v>
      </c>
      <c r="BO50" s="540">
        <f t="shared" si="20"/>
        <v>49490</v>
      </c>
      <c r="BP50" s="540">
        <f t="shared" si="20"/>
        <v>49582</v>
      </c>
      <c r="BQ50" s="540">
        <f t="shared" si="20"/>
        <v>49674</v>
      </c>
      <c r="BR50" s="540">
        <f t="shared" si="20"/>
        <v>49765</v>
      </c>
      <c r="BS50" s="540">
        <f t="shared" si="20"/>
        <v>49856</v>
      </c>
      <c r="BT50" s="540">
        <f t="shared" si="20"/>
        <v>49948</v>
      </c>
      <c r="BU50" s="540">
        <f t="shared" si="20"/>
        <v>50040</v>
      </c>
      <c r="BV50" s="540">
        <f t="shared" si="20"/>
        <v>50130</v>
      </c>
      <c r="BW50" s="540">
        <f t="shared" si="20"/>
        <v>50221</v>
      </c>
      <c r="BX50" s="540">
        <f t="shared" si="20"/>
        <v>50313</v>
      </c>
      <c r="BY50" s="540">
        <f t="shared" si="20"/>
        <v>50405</v>
      </c>
      <c r="BZ50" s="540">
        <f t="shared" si="20"/>
        <v>50495</v>
      </c>
      <c r="CA50" s="540">
        <f t="shared" si="20"/>
        <v>50586</v>
      </c>
      <c r="CB50" s="540">
        <f t="shared" si="20"/>
        <v>50678</v>
      </c>
      <c r="CC50" s="540">
        <f t="shared" si="20"/>
        <v>50770</v>
      </c>
      <c r="CD50" s="540">
        <f t="shared" si="20"/>
        <v>50860</v>
      </c>
      <c r="CE50" s="540">
        <f t="shared" si="20"/>
        <v>50951</v>
      </c>
      <c r="CF50" s="540">
        <f t="shared" si="20"/>
        <v>51043</v>
      </c>
      <c r="CG50" s="540">
        <f t="shared" si="20"/>
        <v>51135</v>
      </c>
      <c r="CH50" s="540">
        <f t="shared" si="20"/>
        <v>51226</v>
      </c>
      <c r="CI50" s="540">
        <f t="shared" si="20"/>
        <v>51317</v>
      </c>
      <c r="CJ50" s="540">
        <f t="shared" si="20"/>
        <v>51409</v>
      </c>
      <c r="CK50" s="540">
        <f t="shared" si="20"/>
        <v>51501</v>
      </c>
      <c r="CL50" s="540">
        <f t="shared" si="20"/>
        <v>51591</v>
      </c>
      <c r="CM50" s="540">
        <f t="shared" si="20"/>
        <v>51682</v>
      </c>
      <c r="CN50" s="540">
        <f t="shared" si="20"/>
        <v>51774</v>
      </c>
      <c r="CO50" s="540">
        <f t="shared" si="20"/>
        <v>51866</v>
      </c>
      <c r="CP50" s="540">
        <f t="shared" si="20"/>
        <v>51956</v>
      </c>
      <c r="CQ50" s="540">
        <f t="shared" si="20"/>
        <v>52047</v>
      </c>
      <c r="CR50" s="540">
        <f t="shared" si="20"/>
        <v>52139</v>
      </c>
      <c r="CS50" s="540">
        <f t="shared" si="20"/>
        <v>52231</v>
      </c>
      <c r="CT50" s="540">
        <f t="shared" si="20"/>
        <v>52321</v>
      </c>
      <c r="CU50" s="540">
        <f t="shared" si="20"/>
        <v>52412</v>
      </c>
      <c r="CV50" s="540">
        <f t="shared" si="20"/>
        <v>52504</v>
      </c>
      <c r="CW50" s="540">
        <f t="shared" si="20"/>
        <v>52596</v>
      </c>
      <c r="CX50" s="540">
        <f t="shared" si="20"/>
        <v>52687</v>
      </c>
      <c r="CY50" s="540">
        <f t="shared" si="20"/>
        <v>52778</v>
      </c>
      <c r="CZ50" s="540">
        <f t="shared" si="20"/>
        <v>52870</v>
      </c>
      <c r="DA50" s="540">
        <f t="shared" si="20"/>
        <v>52962</v>
      </c>
      <c r="DB50" s="540">
        <f t="shared" si="20"/>
        <v>53052</v>
      </c>
      <c r="DC50" s="540">
        <f t="shared" si="20"/>
        <v>53143</v>
      </c>
      <c r="DD50" s="540">
        <f t="shared" si="20"/>
        <v>53235</v>
      </c>
      <c r="DE50" s="540">
        <f t="shared" si="20"/>
        <v>53327</v>
      </c>
      <c r="DF50" s="540">
        <f t="shared" si="20"/>
        <v>53417</v>
      </c>
      <c r="DG50" s="540">
        <f t="shared" si="20"/>
        <v>53508</v>
      </c>
      <c r="DH50" s="540">
        <f t="shared" si="20"/>
        <v>53600</v>
      </c>
      <c r="DI50" s="540">
        <f t="shared" si="20"/>
        <v>53692</v>
      </c>
      <c r="DJ50" s="540">
        <f t="shared" si="20"/>
        <v>53782</v>
      </c>
      <c r="DK50" s="540">
        <f t="shared" si="20"/>
        <v>53873</v>
      </c>
      <c r="DL50" s="540">
        <f t="shared" si="20"/>
        <v>53965</v>
      </c>
      <c r="DM50" s="540">
        <f t="shared" si="20"/>
        <v>54057</v>
      </c>
      <c r="DN50" s="540">
        <f t="shared" si="20"/>
        <v>54148</v>
      </c>
      <c r="DO50" s="540">
        <f t="shared" si="20"/>
        <v>54239</v>
      </c>
      <c r="DP50" s="540">
        <f t="shared" si="20"/>
        <v>54331</v>
      </c>
      <c r="DQ50" s="540">
        <f t="shared" si="20"/>
        <v>54423</v>
      </c>
      <c r="DR50" s="540">
        <f t="shared" si="20"/>
        <v>54513</v>
      </c>
      <c r="DS50" s="540">
        <f t="shared" si="20"/>
        <v>54604</v>
      </c>
      <c r="DT50" s="540">
        <f t="shared" si="20"/>
        <v>54696</v>
      </c>
      <c r="DU50" s="540">
        <f t="shared" si="20"/>
        <v>54788</v>
      </c>
      <c r="DV50" s="540">
        <f t="shared" si="20"/>
        <v>54878</v>
      </c>
      <c r="DW50" s="540">
        <f t="shared" si="20"/>
        <v>54969</v>
      </c>
      <c r="DX50" s="540">
        <f t="shared" si="20"/>
        <v>55061</v>
      </c>
      <c r="DY50" s="540">
        <f t="shared" si="20"/>
        <v>55153</v>
      </c>
      <c r="DZ50" s="540">
        <f t="shared" si="20"/>
        <v>55243</v>
      </c>
      <c r="EA50" s="540">
        <f t="shared" si="20"/>
        <v>55334</v>
      </c>
      <c r="EB50" s="540">
        <f t="shared" si="20"/>
        <v>55426</v>
      </c>
      <c r="EC50" s="540">
        <f t="shared" si="20"/>
        <v>55518</v>
      </c>
      <c r="ED50" s="540">
        <f t="shared" si="20"/>
        <v>55609</v>
      </c>
      <c r="EE50" s="540">
        <f t="shared" si="20"/>
        <v>55700</v>
      </c>
      <c r="EF50" s="540">
        <f t="shared" si="20"/>
        <v>55792</v>
      </c>
      <c r="EG50" s="540">
        <f t="shared" si="20"/>
        <v>55884</v>
      </c>
      <c r="EH50" s="540">
        <f t="shared" si="20"/>
        <v>55974</v>
      </c>
      <c r="EI50" s="540">
        <f t="shared" si="20"/>
        <v>56065</v>
      </c>
      <c r="EJ50" s="540">
        <f t="shared" si="20"/>
        <v>56157</v>
      </c>
      <c r="EK50" s="540">
        <f t="shared" si="20"/>
        <v>56249</v>
      </c>
      <c r="EL50" s="540">
        <f t="shared" si="20"/>
        <v>56339</v>
      </c>
      <c r="EM50" s="540">
        <f t="shared" si="20"/>
        <v>56430</v>
      </c>
      <c r="EN50" s="540">
        <f t="shared" si="20"/>
        <v>56522</v>
      </c>
      <c r="EO50" s="540">
        <f t="shared" si="20"/>
        <v>56614</v>
      </c>
      <c r="EP50" s="540">
        <f t="shared" si="20"/>
        <v>56704</v>
      </c>
      <c r="EQ50" s="540">
        <f t="shared" si="20"/>
        <v>56795</v>
      </c>
      <c r="ER50" s="540">
        <f t="shared" si="20"/>
        <v>56887</v>
      </c>
      <c r="ES50" s="540">
        <f t="shared" si="20"/>
        <v>56979</v>
      </c>
      <c r="ET50" s="540">
        <f t="shared" si="20"/>
        <v>57070</v>
      </c>
      <c r="EU50" s="540">
        <f t="shared" si="20"/>
        <v>57161</v>
      </c>
      <c r="EV50" s="540">
        <f t="shared" si="20"/>
        <v>57253</v>
      </c>
      <c r="EW50" s="540">
        <f t="shared" si="20"/>
        <v>57345</v>
      </c>
      <c r="EX50" s="540">
        <f t="shared" si="20"/>
        <v>57435</v>
      </c>
      <c r="EY50" s="540">
        <f t="shared" si="20"/>
        <v>57526</v>
      </c>
      <c r="EZ50" s="540">
        <f t="shared" si="20"/>
        <v>57618</v>
      </c>
      <c r="FA50" s="540">
        <f t="shared" si="20"/>
        <v>57710</v>
      </c>
      <c r="FB50" s="540">
        <f t="shared" si="20"/>
        <v>57800</v>
      </c>
      <c r="FC50" s="540">
        <f t="shared" si="20"/>
        <v>57891</v>
      </c>
      <c r="FD50" s="540">
        <f t="shared" si="20"/>
        <v>57983</v>
      </c>
      <c r="FE50" s="540">
        <f t="shared" si="20"/>
        <v>58075</v>
      </c>
      <c r="FF50" s="540">
        <f t="shared" si="20"/>
        <v>58165</v>
      </c>
      <c r="FG50" s="540">
        <f t="shared" si="20"/>
        <v>58256</v>
      </c>
      <c r="FH50" s="540">
        <f t="shared" si="20"/>
        <v>58348</v>
      </c>
      <c r="FI50" s="540">
        <f t="shared" si="20"/>
        <v>58440</v>
      </c>
      <c r="FJ50" s="540">
        <f t="shared" si="20"/>
        <v>58531</v>
      </c>
      <c r="FK50" s="540">
        <f t="shared" si="20"/>
        <v>58622</v>
      </c>
      <c r="FL50" s="540">
        <f t="shared" si="20"/>
        <v>58714</v>
      </c>
      <c r="FM50" s="540">
        <f t="shared" si="20"/>
        <v>58806</v>
      </c>
      <c r="FN50" s="540">
        <f t="shared" si="20"/>
        <v>58896</v>
      </c>
      <c r="FO50" s="540">
        <f t="shared" si="20"/>
        <v>58987</v>
      </c>
      <c r="FP50" s="540">
        <f t="shared" si="20"/>
        <v>59079</v>
      </c>
      <c r="FQ50" s="540">
        <f t="shared" si="20"/>
        <v>59171</v>
      </c>
      <c r="FR50" s="540">
        <f t="shared" si="20"/>
        <v>59261</v>
      </c>
      <c r="FS50" s="540">
        <f t="shared" si="20"/>
        <v>59352</v>
      </c>
      <c r="FT50" s="540">
        <f t="shared" si="20"/>
        <v>59444</v>
      </c>
      <c r="FU50" s="540">
        <f t="shared" si="20"/>
        <v>59536</v>
      </c>
      <c r="FV50" s="540">
        <f t="shared" si="20"/>
        <v>59626</v>
      </c>
      <c r="FW50" s="540">
        <f t="shared" si="20"/>
        <v>59717</v>
      </c>
      <c r="FX50" s="540">
        <f t="shared" si="20"/>
        <v>59809</v>
      </c>
      <c r="FY50" s="540">
        <f t="shared" si="20"/>
        <v>59901</v>
      </c>
      <c r="FZ50" s="540">
        <f t="shared" si="20"/>
        <v>59992</v>
      </c>
      <c r="GA50" s="540">
        <f t="shared" si="20"/>
        <v>60083</v>
      </c>
      <c r="GB50" s="540">
        <f t="shared" si="20"/>
        <v>60175</v>
      </c>
      <c r="GC50" s="540">
        <f t="shared" si="20"/>
        <v>60267</v>
      </c>
      <c r="GD50" s="540">
        <f t="shared" si="20"/>
        <v>60357</v>
      </c>
      <c r="GE50" s="540">
        <f t="shared" si="20"/>
        <v>60448</v>
      </c>
      <c r="GF50" s="540">
        <f t="shared" si="20"/>
        <v>60540</v>
      </c>
      <c r="GG50" s="540">
        <f t="shared" si="20"/>
        <v>60632</v>
      </c>
      <c r="GH50" s="540">
        <f t="shared" si="20"/>
        <v>60722</v>
      </c>
      <c r="GI50" s="540">
        <f t="shared" si="20"/>
        <v>60813</v>
      </c>
      <c r="GJ50" s="540">
        <f t="shared" si="20"/>
        <v>60905</v>
      </c>
    </row>
    <row r="53" spans="1:1" ht="12.75">
      <c r="A53" s="534" t="s">
        <v>59</v>
      </c>
    </row>
    <row r="55" spans="2:2" ht="12.75">
      <c r="B55" s="534" t="s">
        <v>60</v>
      </c>
    </row>
    <row r="56" spans="5:7" ht="12.75">
      <c r="E56" s="546" t="str">
        <f>InpC!E$19</f>
        <v>Financial close date</v>
      </c>
      <c r="F56" s="547">
        <f>InpC!F$19</f>
        <v>46203</v>
      </c>
      <c r="G56" s="547" t="str">
        <f>InpC!G$19</f>
        <v>date</v>
      </c>
    </row>
    <row r="57" spans="5:192" ht="12.75">
      <c r="E57" s="535" t="str">
        <f>E$50</f>
        <v>Model period ending</v>
      </c>
      <c r="G57" s="540" t="str">
        <f>G$50</f>
        <v>date</v>
      </c>
      <c r="J57" s="540">
        <f t="shared" si="21" ref="J57:GJ57">J$50</f>
        <v>46053</v>
      </c>
      <c r="K57" s="540">
        <f t="shared" si="21"/>
        <v>46081</v>
      </c>
      <c r="L57" s="540">
        <f t="shared" si="21"/>
        <v>46112</v>
      </c>
      <c r="M57" s="540">
        <f t="shared" si="21"/>
        <v>46142</v>
      </c>
      <c r="N57" s="540">
        <f t="shared" si="21"/>
        <v>46173</v>
      </c>
      <c r="O57" s="540">
        <f t="shared" si="21"/>
        <v>46203</v>
      </c>
      <c r="P57" s="540">
        <f t="shared" si="21"/>
        <v>46234</v>
      </c>
      <c r="Q57" s="540">
        <f t="shared" si="21"/>
        <v>46265</v>
      </c>
      <c r="R57" s="540">
        <f t="shared" si="21"/>
        <v>46295</v>
      </c>
      <c r="S57" s="540">
        <f t="shared" si="21"/>
        <v>46326</v>
      </c>
      <c r="T57" s="540">
        <f t="shared" si="21"/>
        <v>46356</v>
      </c>
      <c r="U57" s="540">
        <f t="shared" si="21"/>
        <v>46387</v>
      </c>
      <c r="V57" s="540">
        <f t="shared" si="21"/>
        <v>46418</v>
      </c>
      <c r="W57" s="540">
        <f t="shared" si="21"/>
        <v>46446</v>
      </c>
      <c r="X57" s="540">
        <f t="shared" si="21"/>
        <v>46477</v>
      </c>
      <c r="Y57" s="540">
        <f t="shared" si="21"/>
        <v>46507</v>
      </c>
      <c r="Z57" s="540">
        <f t="shared" si="21"/>
        <v>46538</v>
      </c>
      <c r="AA57" s="540">
        <f t="shared" si="21"/>
        <v>46568</v>
      </c>
      <c r="AB57" s="540">
        <f t="shared" si="21"/>
        <v>46599</v>
      </c>
      <c r="AC57" s="540">
        <f t="shared" si="21"/>
        <v>46630</v>
      </c>
      <c r="AD57" s="540">
        <f t="shared" si="21"/>
        <v>46660</v>
      </c>
      <c r="AE57" s="540">
        <f t="shared" si="21"/>
        <v>46691</v>
      </c>
      <c r="AF57" s="540">
        <f t="shared" si="21"/>
        <v>46721</v>
      </c>
      <c r="AG57" s="540">
        <f t="shared" si="21"/>
        <v>46752</v>
      </c>
      <c r="AH57" s="540">
        <f t="shared" si="21"/>
        <v>46783</v>
      </c>
      <c r="AI57" s="540">
        <f t="shared" si="21"/>
        <v>46812</v>
      </c>
      <c r="AJ57" s="540">
        <f t="shared" si="21"/>
        <v>46843</v>
      </c>
      <c r="AK57" s="540">
        <f t="shared" si="21"/>
        <v>46873</v>
      </c>
      <c r="AL57" s="540">
        <f t="shared" si="21"/>
        <v>46904</v>
      </c>
      <c r="AM57" s="540">
        <f t="shared" si="21"/>
        <v>46934</v>
      </c>
      <c r="AN57" s="540">
        <f t="shared" si="21"/>
        <v>47026</v>
      </c>
      <c r="AO57" s="540">
        <f t="shared" si="21"/>
        <v>47118</v>
      </c>
      <c r="AP57" s="540">
        <f t="shared" si="21"/>
        <v>47208</v>
      </c>
      <c r="AQ57" s="540">
        <f t="shared" si="21"/>
        <v>47299</v>
      </c>
      <c r="AR57" s="540">
        <f t="shared" si="21"/>
        <v>47391</v>
      </c>
      <c r="AS57" s="540">
        <f t="shared" si="21"/>
        <v>47483</v>
      </c>
      <c r="AT57" s="540">
        <f t="shared" si="21"/>
        <v>47573</v>
      </c>
      <c r="AU57" s="540">
        <f t="shared" si="21"/>
        <v>47664</v>
      </c>
      <c r="AV57" s="540">
        <f t="shared" si="21"/>
        <v>47756</v>
      </c>
      <c r="AW57" s="540">
        <f t="shared" si="21"/>
        <v>47848</v>
      </c>
      <c r="AX57" s="540">
        <f t="shared" si="21"/>
        <v>47938</v>
      </c>
      <c r="AY57" s="540">
        <f t="shared" si="21"/>
        <v>48029</v>
      </c>
      <c r="AZ57" s="540">
        <f t="shared" si="21"/>
        <v>48121</v>
      </c>
      <c r="BA57" s="540">
        <f t="shared" si="21"/>
        <v>48213</v>
      </c>
      <c r="BB57" s="540">
        <f t="shared" si="21"/>
        <v>48304</v>
      </c>
      <c r="BC57" s="540">
        <f t="shared" si="21"/>
        <v>48395</v>
      </c>
      <c r="BD57" s="540">
        <f t="shared" si="21"/>
        <v>48487</v>
      </c>
      <c r="BE57" s="540">
        <f t="shared" si="21"/>
        <v>48579</v>
      </c>
      <c r="BF57" s="540">
        <f t="shared" si="21"/>
        <v>48669</v>
      </c>
      <c r="BG57" s="540">
        <f t="shared" si="21"/>
        <v>48760</v>
      </c>
      <c r="BH57" s="540">
        <f t="shared" si="21"/>
        <v>48852</v>
      </c>
      <c r="BI57" s="540">
        <f t="shared" si="21"/>
        <v>48944</v>
      </c>
      <c r="BJ57" s="540">
        <f t="shared" si="21"/>
        <v>49034</v>
      </c>
      <c r="BK57" s="540">
        <f t="shared" si="21"/>
        <v>49125</v>
      </c>
      <c r="BL57" s="540">
        <f t="shared" si="21"/>
        <v>49217</v>
      </c>
      <c r="BM57" s="540">
        <f t="shared" si="21"/>
        <v>49309</v>
      </c>
      <c r="BN57" s="540">
        <f t="shared" si="21"/>
        <v>49399</v>
      </c>
      <c r="BO57" s="540">
        <f t="shared" si="21"/>
        <v>49490</v>
      </c>
      <c r="BP57" s="540">
        <f t="shared" si="21"/>
        <v>49582</v>
      </c>
      <c r="BQ57" s="540">
        <f t="shared" si="21"/>
        <v>49674</v>
      </c>
      <c r="BR57" s="540">
        <f t="shared" si="21"/>
        <v>49765</v>
      </c>
      <c r="BS57" s="540">
        <f t="shared" si="21"/>
        <v>49856</v>
      </c>
      <c r="BT57" s="540">
        <f t="shared" si="21"/>
        <v>49948</v>
      </c>
      <c r="BU57" s="540">
        <f t="shared" si="21"/>
        <v>50040</v>
      </c>
      <c r="BV57" s="540">
        <f t="shared" si="21"/>
        <v>50130</v>
      </c>
      <c r="BW57" s="540">
        <f t="shared" si="21"/>
        <v>50221</v>
      </c>
      <c r="BX57" s="540">
        <f t="shared" si="21"/>
        <v>50313</v>
      </c>
      <c r="BY57" s="540">
        <f t="shared" si="21"/>
        <v>50405</v>
      </c>
      <c r="BZ57" s="540">
        <f t="shared" si="21"/>
        <v>50495</v>
      </c>
      <c r="CA57" s="540">
        <f t="shared" si="21"/>
        <v>50586</v>
      </c>
      <c r="CB57" s="540">
        <f t="shared" si="21"/>
        <v>50678</v>
      </c>
      <c r="CC57" s="540">
        <f t="shared" si="21"/>
        <v>50770</v>
      </c>
      <c r="CD57" s="540">
        <f t="shared" si="21"/>
        <v>50860</v>
      </c>
      <c r="CE57" s="540">
        <f t="shared" si="21"/>
        <v>50951</v>
      </c>
      <c r="CF57" s="540">
        <f t="shared" si="21"/>
        <v>51043</v>
      </c>
      <c r="CG57" s="540">
        <f t="shared" si="21"/>
        <v>51135</v>
      </c>
      <c r="CH57" s="540">
        <f t="shared" si="21"/>
        <v>51226</v>
      </c>
      <c r="CI57" s="540">
        <f t="shared" si="21"/>
        <v>51317</v>
      </c>
      <c r="CJ57" s="540">
        <f t="shared" si="21"/>
        <v>51409</v>
      </c>
      <c r="CK57" s="540">
        <f t="shared" si="21"/>
        <v>51501</v>
      </c>
      <c r="CL57" s="540">
        <f t="shared" si="21"/>
        <v>51591</v>
      </c>
      <c r="CM57" s="540">
        <f t="shared" si="21"/>
        <v>51682</v>
      </c>
      <c r="CN57" s="540">
        <f t="shared" si="21"/>
        <v>51774</v>
      </c>
      <c r="CO57" s="540">
        <f t="shared" si="21"/>
        <v>51866</v>
      </c>
      <c r="CP57" s="540">
        <f t="shared" si="21"/>
        <v>51956</v>
      </c>
      <c r="CQ57" s="540">
        <f t="shared" si="21"/>
        <v>52047</v>
      </c>
      <c r="CR57" s="540">
        <f t="shared" si="21"/>
        <v>52139</v>
      </c>
      <c r="CS57" s="540">
        <f t="shared" si="21"/>
        <v>52231</v>
      </c>
      <c r="CT57" s="540">
        <f t="shared" si="21"/>
        <v>52321</v>
      </c>
      <c r="CU57" s="540">
        <f t="shared" si="21"/>
        <v>52412</v>
      </c>
      <c r="CV57" s="540">
        <f t="shared" si="21"/>
        <v>52504</v>
      </c>
      <c r="CW57" s="540">
        <f t="shared" si="21"/>
        <v>52596</v>
      </c>
      <c r="CX57" s="540">
        <f t="shared" si="21"/>
        <v>52687</v>
      </c>
      <c r="CY57" s="540">
        <f t="shared" si="21"/>
        <v>52778</v>
      </c>
      <c r="CZ57" s="540">
        <f t="shared" si="21"/>
        <v>52870</v>
      </c>
      <c r="DA57" s="540">
        <f t="shared" si="21"/>
        <v>52962</v>
      </c>
      <c r="DB57" s="540">
        <f t="shared" si="21"/>
        <v>53052</v>
      </c>
      <c r="DC57" s="540">
        <f t="shared" si="21"/>
        <v>53143</v>
      </c>
      <c r="DD57" s="540">
        <f t="shared" si="21"/>
        <v>53235</v>
      </c>
      <c r="DE57" s="540">
        <f t="shared" si="21"/>
        <v>53327</v>
      </c>
      <c r="DF57" s="540">
        <f t="shared" si="21"/>
        <v>53417</v>
      </c>
      <c r="DG57" s="540">
        <f t="shared" si="21"/>
        <v>53508</v>
      </c>
      <c r="DH57" s="540">
        <f t="shared" si="21"/>
        <v>53600</v>
      </c>
      <c r="DI57" s="540">
        <f t="shared" si="21"/>
        <v>53692</v>
      </c>
      <c r="DJ57" s="540">
        <f t="shared" si="21"/>
        <v>53782</v>
      </c>
      <c r="DK57" s="540">
        <f t="shared" si="21"/>
        <v>53873</v>
      </c>
      <c r="DL57" s="540">
        <f t="shared" si="21"/>
        <v>53965</v>
      </c>
      <c r="DM57" s="540">
        <f t="shared" si="21"/>
        <v>54057</v>
      </c>
      <c r="DN57" s="540">
        <f t="shared" si="21"/>
        <v>54148</v>
      </c>
      <c r="DO57" s="540">
        <f t="shared" si="21"/>
        <v>54239</v>
      </c>
      <c r="DP57" s="540">
        <f t="shared" si="21"/>
        <v>54331</v>
      </c>
      <c r="DQ57" s="540">
        <f t="shared" si="21"/>
        <v>54423</v>
      </c>
      <c r="DR57" s="540">
        <f t="shared" si="21"/>
        <v>54513</v>
      </c>
      <c r="DS57" s="540">
        <f t="shared" si="21"/>
        <v>54604</v>
      </c>
      <c r="DT57" s="540">
        <f t="shared" si="21"/>
        <v>54696</v>
      </c>
      <c r="DU57" s="540">
        <f t="shared" si="21"/>
        <v>54788</v>
      </c>
      <c r="DV57" s="540">
        <f t="shared" si="21"/>
        <v>54878</v>
      </c>
      <c r="DW57" s="540">
        <f t="shared" si="21"/>
        <v>54969</v>
      </c>
      <c r="DX57" s="540">
        <f t="shared" si="21"/>
        <v>55061</v>
      </c>
      <c r="DY57" s="540">
        <f t="shared" si="21"/>
        <v>55153</v>
      </c>
      <c r="DZ57" s="540">
        <f t="shared" si="21"/>
        <v>55243</v>
      </c>
      <c r="EA57" s="540">
        <f t="shared" si="21"/>
        <v>55334</v>
      </c>
      <c r="EB57" s="540">
        <f t="shared" si="21"/>
        <v>55426</v>
      </c>
      <c r="EC57" s="540">
        <f t="shared" si="21"/>
        <v>55518</v>
      </c>
      <c r="ED57" s="540">
        <f t="shared" si="21"/>
        <v>55609</v>
      </c>
      <c r="EE57" s="540">
        <f t="shared" si="21"/>
        <v>55700</v>
      </c>
      <c r="EF57" s="540">
        <f t="shared" si="21"/>
        <v>55792</v>
      </c>
      <c r="EG57" s="540">
        <f t="shared" si="21"/>
        <v>55884</v>
      </c>
      <c r="EH57" s="540">
        <f t="shared" si="21"/>
        <v>55974</v>
      </c>
      <c r="EI57" s="540">
        <f t="shared" si="21"/>
        <v>56065</v>
      </c>
      <c r="EJ57" s="540">
        <f t="shared" si="21"/>
        <v>56157</v>
      </c>
      <c r="EK57" s="540">
        <f t="shared" si="21"/>
        <v>56249</v>
      </c>
      <c r="EL57" s="540">
        <f t="shared" si="21"/>
        <v>56339</v>
      </c>
      <c r="EM57" s="540">
        <f t="shared" si="21"/>
        <v>56430</v>
      </c>
      <c r="EN57" s="540">
        <f t="shared" si="21"/>
        <v>56522</v>
      </c>
      <c r="EO57" s="540">
        <f t="shared" si="21"/>
        <v>56614</v>
      </c>
      <c r="EP57" s="540">
        <f t="shared" si="21"/>
        <v>56704</v>
      </c>
      <c r="EQ57" s="540">
        <f t="shared" si="21"/>
        <v>56795</v>
      </c>
      <c r="ER57" s="540">
        <f t="shared" si="21"/>
        <v>56887</v>
      </c>
      <c r="ES57" s="540">
        <f t="shared" si="21"/>
        <v>56979</v>
      </c>
      <c r="ET57" s="540">
        <f t="shared" si="21"/>
        <v>57070</v>
      </c>
      <c r="EU57" s="540">
        <f t="shared" si="21"/>
        <v>57161</v>
      </c>
      <c r="EV57" s="540">
        <f t="shared" si="21"/>
        <v>57253</v>
      </c>
      <c r="EW57" s="540">
        <f t="shared" si="21"/>
        <v>57345</v>
      </c>
      <c r="EX57" s="540">
        <f t="shared" si="21"/>
        <v>57435</v>
      </c>
      <c r="EY57" s="540">
        <f t="shared" si="21"/>
        <v>57526</v>
      </c>
      <c r="EZ57" s="540">
        <f t="shared" si="21"/>
        <v>57618</v>
      </c>
      <c r="FA57" s="540">
        <f t="shared" si="21"/>
        <v>57710</v>
      </c>
      <c r="FB57" s="540">
        <f t="shared" si="21"/>
        <v>57800</v>
      </c>
      <c r="FC57" s="540">
        <f t="shared" si="21"/>
        <v>57891</v>
      </c>
      <c r="FD57" s="540">
        <f t="shared" si="21"/>
        <v>57983</v>
      </c>
      <c r="FE57" s="540">
        <f t="shared" si="21"/>
        <v>58075</v>
      </c>
      <c r="FF57" s="540">
        <f t="shared" si="21"/>
        <v>58165</v>
      </c>
      <c r="FG57" s="540">
        <f t="shared" si="21"/>
        <v>58256</v>
      </c>
      <c r="FH57" s="540">
        <f t="shared" si="21"/>
        <v>58348</v>
      </c>
      <c r="FI57" s="540">
        <f t="shared" si="21"/>
        <v>58440</v>
      </c>
      <c r="FJ57" s="540">
        <f t="shared" si="21"/>
        <v>58531</v>
      </c>
      <c r="FK57" s="540">
        <f t="shared" si="21"/>
        <v>58622</v>
      </c>
      <c r="FL57" s="540">
        <f t="shared" si="21"/>
        <v>58714</v>
      </c>
      <c r="FM57" s="540">
        <f t="shared" si="21"/>
        <v>58806</v>
      </c>
      <c r="FN57" s="540">
        <f t="shared" si="21"/>
        <v>58896</v>
      </c>
      <c r="FO57" s="540">
        <f t="shared" si="21"/>
        <v>58987</v>
      </c>
      <c r="FP57" s="540">
        <f t="shared" si="21"/>
        <v>59079</v>
      </c>
      <c r="FQ57" s="540">
        <f t="shared" si="21"/>
        <v>59171</v>
      </c>
      <c r="FR57" s="540">
        <f t="shared" si="21"/>
        <v>59261</v>
      </c>
      <c r="FS57" s="540">
        <f t="shared" si="21"/>
        <v>59352</v>
      </c>
      <c r="FT57" s="540">
        <f t="shared" si="21"/>
        <v>59444</v>
      </c>
      <c r="FU57" s="540">
        <f t="shared" si="21"/>
        <v>59536</v>
      </c>
      <c r="FV57" s="540">
        <f t="shared" si="21"/>
        <v>59626</v>
      </c>
      <c r="FW57" s="540">
        <f t="shared" si="21"/>
        <v>59717</v>
      </c>
      <c r="FX57" s="540">
        <f t="shared" si="21"/>
        <v>59809</v>
      </c>
      <c r="FY57" s="540">
        <f t="shared" si="21"/>
        <v>59901</v>
      </c>
      <c r="FZ57" s="540">
        <f t="shared" si="21"/>
        <v>59992</v>
      </c>
      <c r="GA57" s="540">
        <f t="shared" si="21"/>
        <v>60083</v>
      </c>
      <c r="GB57" s="540">
        <f t="shared" si="21"/>
        <v>60175</v>
      </c>
      <c r="GC57" s="540">
        <f t="shared" si="21"/>
        <v>60267</v>
      </c>
      <c r="GD57" s="540">
        <f t="shared" si="21"/>
        <v>60357</v>
      </c>
      <c r="GE57" s="540">
        <f t="shared" si="21"/>
        <v>60448</v>
      </c>
      <c r="GF57" s="540">
        <f t="shared" si="21"/>
        <v>60540</v>
      </c>
      <c r="GG57" s="540">
        <f t="shared" si="21"/>
        <v>60632</v>
      </c>
      <c r="GH57" s="540">
        <f t="shared" si="21"/>
        <v>60722</v>
      </c>
      <c r="GI57" s="540">
        <f t="shared" si="21"/>
        <v>60813</v>
      </c>
      <c r="GJ57" s="540">
        <f t="shared" si="21"/>
        <v>60905</v>
      </c>
    </row>
    <row r="58" spans="5:192" ht="12.75">
      <c r="E58" s="535" t="s">
        <v>60</v>
      </c>
      <c r="G58" s="537" t="s">
        <v>50</v>
      </c>
      <c r="H58" s="537">
        <f>SUM(J58:GJ58)</f>
        <v>1</v>
      </c>
      <c r="J58" s="537">
        <f t="shared" si="22" ref="J58:GJ58">IF(AND(I57&lt;$F56,J57&gt;=$F56),1,0)</f>
        <v>0</v>
      </c>
      <c r="K58" s="537">
        <f t="shared" si="22"/>
        <v>0</v>
      </c>
      <c r="L58" s="537">
        <f t="shared" si="22"/>
        <v>0</v>
      </c>
      <c r="M58" s="537">
        <f t="shared" si="22"/>
        <v>0</v>
      </c>
      <c r="N58" s="537">
        <f t="shared" si="22"/>
        <v>0</v>
      </c>
      <c r="O58" s="537">
        <f t="shared" si="22"/>
        <v>1</v>
      </c>
      <c r="P58" s="537">
        <f t="shared" si="22"/>
        <v>0</v>
      </c>
      <c r="Q58" s="537">
        <f t="shared" si="22"/>
        <v>0</v>
      </c>
      <c r="R58" s="537">
        <f t="shared" si="22"/>
        <v>0</v>
      </c>
      <c r="S58" s="537">
        <f t="shared" si="22"/>
        <v>0</v>
      </c>
      <c r="T58" s="537">
        <f t="shared" si="22"/>
        <v>0</v>
      </c>
      <c r="U58" s="537">
        <f t="shared" si="22"/>
        <v>0</v>
      </c>
      <c r="V58" s="537">
        <f t="shared" si="22"/>
        <v>0</v>
      </c>
      <c r="W58" s="537">
        <f t="shared" si="22"/>
        <v>0</v>
      </c>
      <c r="X58" s="537">
        <f t="shared" si="22"/>
        <v>0</v>
      </c>
      <c r="Y58" s="537">
        <f t="shared" si="22"/>
        <v>0</v>
      </c>
      <c r="Z58" s="537">
        <f t="shared" si="22"/>
        <v>0</v>
      </c>
      <c r="AA58" s="537">
        <f t="shared" si="22"/>
        <v>0</v>
      </c>
      <c r="AB58" s="537">
        <f t="shared" si="22"/>
        <v>0</v>
      </c>
      <c r="AC58" s="537">
        <f t="shared" si="22"/>
        <v>0</v>
      </c>
      <c r="AD58" s="537">
        <f t="shared" si="22"/>
        <v>0</v>
      </c>
      <c r="AE58" s="537">
        <f t="shared" si="22"/>
        <v>0</v>
      </c>
      <c r="AF58" s="537">
        <f t="shared" si="22"/>
        <v>0</v>
      </c>
      <c r="AG58" s="537">
        <f t="shared" si="22"/>
        <v>0</v>
      </c>
      <c r="AH58" s="537">
        <f t="shared" si="22"/>
        <v>0</v>
      </c>
      <c r="AI58" s="537">
        <f t="shared" si="22"/>
        <v>0</v>
      </c>
      <c r="AJ58" s="537">
        <f t="shared" si="22"/>
        <v>0</v>
      </c>
      <c r="AK58" s="537">
        <f t="shared" si="22"/>
        <v>0</v>
      </c>
      <c r="AL58" s="537">
        <f t="shared" si="22"/>
        <v>0</v>
      </c>
      <c r="AM58" s="537">
        <f t="shared" si="22"/>
        <v>0</v>
      </c>
      <c r="AN58" s="537">
        <f t="shared" si="22"/>
        <v>0</v>
      </c>
      <c r="AO58" s="537">
        <f t="shared" si="22"/>
        <v>0</v>
      </c>
      <c r="AP58" s="537">
        <f t="shared" si="22"/>
        <v>0</v>
      </c>
      <c r="AQ58" s="537">
        <f t="shared" si="22"/>
        <v>0</v>
      </c>
      <c r="AR58" s="537">
        <f t="shared" si="22"/>
        <v>0</v>
      </c>
      <c r="AS58" s="537">
        <f t="shared" si="22"/>
        <v>0</v>
      </c>
      <c r="AT58" s="537">
        <f t="shared" si="22"/>
        <v>0</v>
      </c>
      <c r="AU58" s="537">
        <f t="shared" si="22"/>
        <v>0</v>
      </c>
      <c r="AV58" s="537">
        <f t="shared" si="22"/>
        <v>0</v>
      </c>
      <c r="AW58" s="537">
        <f t="shared" si="22"/>
        <v>0</v>
      </c>
      <c r="AX58" s="537">
        <f t="shared" si="22"/>
        <v>0</v>
      </c>
      <c r="AY58" s="537">
        <f t="shared" si="22"/>
        <v>0</v>
      </c>
      <c r="AZ58" s="537">
        <f t="shared" si="22"/>
        <v>0</v>
      </c>
      <c r="BA58" s="537">
        <f t="shared" si="22"/>
        <v>0</v>
      </c>
      <c r="BB58" s="537">
        <f t="shared" si="22"/>
        <v>0</v>
      </c>
      <c r="BC58" s="537">
        <f t="shared" si="22"/>
        <v>0</v>
      </c>
      <c r="BD58" s="537">
        <f t="shared" si="22"/>
        <v>0</v>
      </c>
      <c r="BE58" s="537">
        <f t="shared" si="22"/>
        <v>0</v>
      </c>
      <c r="BF58" s="537">
        <f t="shared" si="22"/>
        <v>0</v>
      </c>
      <c r="BG58" s="537">
        <f t="shared" si="22"/>
        <v>0</v>
      </c>
      <c r="BH58" s="537">
        <f t="shared" si="22"/>
        <v>0</v>
      </c>
      <c r="BI58" s="537">
        <f t="shared" si="22"/>
        <v>0</v>
      </c>
      <c r="BJ58" s="537">
        <f t="shared" si="22"/>
        <v>0</v>
      </c>
      <c r="BK58" s="537">
        <f t="shared" si="22"/>
        <v>0</v>
      </c>
      <c r="BL58" s="537">
        <f t="shared" si="22"/>
        <v>0</v>
      </c>
      <c r="BM58" s="537">
        <f t="shared" si="22"/>
        <v>0</v>
      </c>
      <c r="BN58" s="537">
        <f t="shared" si="22"/>
        <v>0</v>
      </c>
      <c r="BO58" s="537">
        <f t="shared" si="22"/>
        <v>0</v>
      </c>
      <c r="BP58" s="537">
        <f t="shared" si="22"/>
        <v>0</v>
      </c>
      <c r="BQ58" s="537">
        <f t="shared" si="22"/>
        <v>0</v>
      </c>
      <c r="BR58" s="537">
        <f t="shared" si="22"/>
        <v>0</v>
      </c>
      <c r="BS58" s="537">
        <f t="shared" si="22"/>
        <v>0</v>
      </c>
      <c r="BT58" s="537">
        <f t="shared" si="22"/>
        <v>0</v>
      </c>
      <c r="BU58" s="537">
        <f t="shared" si="22"/>
        <v>0</v>
      </c>
      <c r="BV58" s="537">
        <f t="shared" si="22"/>
        <v>0</v>
      </c>
      <c r="BW58" s="537">
        <f t="shared" si="22"/>
        <v>0</v>
      </c>
      <c r="BX58" s="537">
        <f t="shared" si="22"/>
        <v>0</v>
      </c>
      <c r="BY58" s="537">
        <f t="shared" si="22"/>
        <v>0</v>
      </c>
      <c r="BZ58" s="537">
        <f t="shared" si="22"/>
        <v>0</v>
      </c>
      <c r="CA58" s="537">
        <f t="shared" si="22"/>
        <v>0</v>
      </c>
      <c r="CB58" s="537">
        <f t="shared" si="22"/>
        <v>0</v>
      </c>
      <c r="CC58" s="537">
        <f t="shared" si="22"/>
        <v>0</v>
      </c>
      <c r="CD58" s="537">
        <f t="shared" si="22"/>
        <v>0</v>
      </c>
      <c r="CE58" s="537">
        <f t="shared" si="22"/>
        <v>0</v>
      </c>
      <c r="CF58" s="537">
        <f t="shared" si="22"/>
        <v>0</v>
      </c>
      <c r="CG58" s="537">
        <f t="shared" si="22"/>
        <v>0</v>
      </c>
      <c r="CH58" s="537">
        <f t="shared" si="22"/>
        <v>0</v>
      </c>
      <c r="CI58" s="537">
        <f t="shared" si="22"/>
        <v>0</v>
      </c>
      <c r="CJ58" s="537">
        <f t="shared" si="22"/>
        <v>0</v>
      </c>
      <c r="CK58" s="537">
        <f t="shared" si="22"/>
        <v>0</v>
      </c>
      <c r="CL58" s="537">
        <f t="shared" si="22"/>
        <v>0</v>
      </c>
      <c r="CM58" s="537">
        <f t="shared" si="22"/>
        <v>0</v>
      </c>
      <c r="CN58" s="537">
        <f t="shared" si="22"/>
        <v>0</v>
      </c>
      <c r="CO58" s="537">
        <f t="shared" si="22"/>
        <v>0</v>
      </c>
      <c r="CP58" s="537">
        <f t="shared" si="22"/>
        <v>0</v>
      </c>
      <c r="CQ58" s="537">
        <f t="shared" si="22"/>
        <v>0</v>
      </c>
      <c r="CR58" s="537">
        <f t="shared" si="22"/>
        <v>0</v>
      </c>
      <c r="CS58" s="537">
        <f t="shared" si="22"/>
        <v>0</v>
      </c>
      <c r="CT58" s="537">
        <f t="shared" si="22"/>
        <v>0</v>
      </c>
      <c r="CU58" s="537">
        <f t="shared" si="22"/>
        <v>0</v>
      </c>
      <c r="CV58" s="537">
        <f t="shared" si="22"/>
        <v>0</v>
      </c>
      <c r="CW58" s="537">
        <f t="shared" si="22"/>
        <v>0</v>
      </c>
      <c r="CX58" s="537">
        <f t="shared" si="22"/>
        <v>0</v>
      </c>
      <c r="CY58" s="537">
        <f t="shared" si="22"/>
        <v>0</v>
      </c>
      <c r="CZ58" s="537">
        <f t="shared" si="22"/>
        <v>0</v>
      </c>
      <c r="DA58" s="537">
        <f t="shared" si="22"/>
        <v>0</v>
      </c>
      <c r="DB58" s="537">
        <f t="shared" si="22"/>
        <v>0</v>
      </c>
      <c r="DC58" s="537">
        <f t="shared" si="22"/>
        <v>0</v>
      </c>
      <c r="DD58" s="537">
        <f t="shared" si="22"/>
        <v>0</v>
      </c>
      <c r="DE58" s="537">
        <f t="shared" si="22"/>
        <v>0</v>
      </c>
      <c r="DF58" s="537">
        <f t="shared" si="22"/>
        <v>0</v>
      </c>
      <c r="DG58" s="537">
        <f t="shared" si="22"/>
        <v>0</v>
      </c>
      <c r="DH58" s="537">
        <f t="shared" si="22"/>
        <v>0</v>
      </c>
      <c r="DI58" s="537">
        <f t="shared" si="22"/>
        <v>0</v>
      </c>
      <c r="DJ58" s="537">
        <f t="shared" si="22"/>
        <v>0</v>
      </c>
      <c r="DK58" s="537">
        <f t="shared" si="22"/>
        <v>0</v>
      </c>
      <c r="DL58" s="537">
        <f t="shared" si="22"/>
        <v>0</v>
      </c>
      <c r="DM58" s="537">
        <f t="shared" si="22"/>
        <v>0</v>
      </c>
      <c r="DN58" s="537">
        <f t="shared" si="22"/>
        <v>0</v>
      </c>
      <c r="DO58" s="537">
        <f t="shared" si="22"/>
        <v>0</v>
      </c>
      <c r="DP58" s="537">
        <f t="shared" si="22"/>
        <v>0</v>
      </c>
      <c r="DQ58" s="537">
        <f t="shared" si="22"/>
        <v>0</v>
      </c>
      <c r="DR58" s="537">
        <f t="shared" si="22"/>
        <v>0</v>
      </c>
      <c r="DS58" s="537">
        <f t="shared" si="22"/>
        <v>0</v>
      </c>
      <c r="DT58" s="537">
        <f t="shared" si="22"/>
        <v>0</v>
      </c>
      <c r="DU58" s="537">
        <f t="shared" si="22"/>
        <v>0</v>
      </c>
      <c r="DV58" s="537">
        <f t="shared" si="22"/>
        <v>0</v>
      </c>
      <c r="DW58" s="537">
        <f t="shared" si="22"/>
        <v>0</v>
      </c>
      <c r="DX58" s="537">
        <f t="shared" si="22"/>
        <v>0</v>
      </c>
      <c r="DY58" s="537">
        <f t="shared" si="22"/>
        <v>0</v>
      </c>
      <c r="DZ58" s="537">
        <f t="shared" si="22"/>
        <v>0</v>
      </c>
      <c r="EA58" s="537">
        <f t="shared" si="22"/>
        <v>0</v>
      </c>
      <c r="EB58" s="537">
        <f t="shared" si="22"/>
        <v>0</v>
      </c>
      <c r="EC58" s="537">
        <f t="shared" si="22"/>
        <v>0</v>
      </c>
      <c r="ED58" s="537">
        <f t="shared" si="22"/>
        <v>0</v>
      </c>
      <c r="EE58" s="537">
        <f t="shared" si="22"/>
        <v>0</v>
      </c>
      <c r="EF58" s="537">
        <f t="shared" si="22"/>
        <v>0</v>
      </c>
      <c r="EG58" s="537">
        <f t="shared" si="22"/>
        <v>0</v>
      </c>
      <c r="EH58" s="537">
        <f t="shared" si="22"/>
        <v>0</v>
      </c>
      <c r="EI58" s="537">
        <f t="shared" si="22"/>
        <v>0</v>
      </c>
      <c r="EJ58" s="537">
        <f t="shared" si="22"/>
        <v>0</v>
      </c>
      <c r="EK58" s="537">
        <f t="shared" si="22"/>
        <v>0</v>
      </c>
      <c r="EL58" s="537">
        <f t="shared" si="22"/>
        <v>0</v>
      </c>
      <c r="EM58" s="537">
        <f t="shared" si="22"/>
        <v>0</v>
      </c>
      <c r="EN58" s="537">
        <f t="shared" si="22"/>
        <v>0</v>
      </c>
      <c r="EO58" s="537">
        <f t="shared" si="22"/>
        <v>0</v>
      </c>
      <c r="EP58" s="537">
        <f t="shared" si="22"/>
        <v>0</v>
      </c>
      <c r="EQ58" s="537">
        <f t="shared" si="22"/>
        <v>0</v>
      </c>
      <c r="ER58" s="537">
        <f t="shared" si="22"/>
        <v>0</v>
      </c>
      <c r="ES58" s="537">
        <f t="shared" si="22"/>
        <v>0</v>
      </c>
      <c r="ET58" s="537">
        <f t="shared" si="22"/>
        <v>0</v>
      </c>
      <c r="EU58" s="537">
        <f t="shared" si="22"/>
        <v>0</v>
      </c>
      <c r="EV58" s="537">
        <f t="shared" si="22"/>
        <v>0</v>
      </c>
      <c r="EW58" s="537">
        <f t="shared" si="22"/>
        <v>0</v>
      </c>
      <c r="EX58" s="537">
        <f t="shared" si="22"/>
        <v>0</v>
      </c>
      <c r="EY58" s="537">
        <f t="shared" si="22"/>
        <v>0</v>
      </c>
      <c r="EZ58" s="537">
        <f t="shared" si="22"/>
        <v>0</v>
      </c>
      <c r="FA58" s="537">
        <f t="shared" si="22"/>
        <v>0</v>
      </c>
      <c r="FB58" s="537">
        <f t="shared" si="22"/>
        <v>0</v>
      </c>
      <c r="FC58" s="537">
        <f t="shared" si="22"/>
        <v>0</v>
      </c>
      <c r="FD58" s="537">
        <f t="shared" si="22"/>
        <v>0</v>
      </c>
      <c r="FE58" s="537">
        <f t="shared" si="22"/>
        <v>0</v>
      </c>
      <c r="FF58" s="537">
        <f t="shared" si="22"/>
        <v>0</v>
      </c>
      <c r="FG58" s="537">
        <f t="shared" si="22"/>
        <v>0</v>
      </c>
      <c r="FH58" s="537">
        <f t="shared" si="22"/>
        <v>0</v>
      </c>
      <c r="FI58" s="537">
        <f t="shared" si="22"/>
        <v>0</v>
      </c>
      <c r="FJ58" s="537">
        <f t="shared" si="22"/>
        <v>0</v>
      </c>
      <c r="FK58" s="537">
        <f t="shared" si="22"/>
        <v>0</v>
      </c>
      <c r="FL58" s="537">
        <f t="shared" si="22"/>
        <v>0</v>
      </c>
      <c r="FM58" s="537">
        <f t="shared" si="22"/>
        <v>0</v>
      </c>
      <c r="FN58" s="537">
        <f t="shared" si="22"/>
        <v>0</v>
      </c>
      <c r="FO58" s="537">
        <f t="shared" si="22"/>
        <v>0</v>
      </c>
      <c r="FP58" s="537">
        <f t="shared" si="22"/>
        <v>0</v>
      </c>
      <c r="FQ58" s="537">
        <f t="shared" si="22"/>
        <v>0</v>
      </c>
      <c r="FR58" s="537">
        <f t="shared" si="22"/>
        <v>0</v>
      </c>
      <c r="FS58" s="537">
        <f t="shared" si="22"/>
        <v>0</v>
      </c>
      <c r="FT58" s="537">
        <f t="shared" si="22"/>
        <v>0</v>
      </c>
      <c r="FU58" s="537">
        <f t="shared" si="22"/>
        <v>0</v>
      </c>
      <c r="FV58" s="537">
        <f t="shared" si="22"/>
        <v>0</v>
      </c>
      <c r="FW58" s="537">
        <f t="shared" si="22"/>
        <v>0</v>
      </c>
      <c r="FX58" s="537">
        <f t="shared" si="22"/>
        <v>0</v>
      </c>
      <c r="FY58" s="537">
        <f t="shared" si="22"/>
        <v>0</v>
      </c>
      <c r="FZ58" s="537">
        <f t="shared" si="22"/>
        <v>0</v>
      </c>
      <c r="GA58" s="537">
        <f t="shared" si="22"/>
        <v>0</v>
      </c>
      <c r="GB58" s="537">
        <f t="shared" si="22"/>
        <v>0</v>
      </c>
      <c r="GC58" s="537">
        <f t="shared" si="22"/>
        <v>0</v>
      </c>
      <c r="GD58" s="537">
        <f t="shared" si="22"/>
        <v>0</v>
      </c>
      <c r="GE58" s="537">
        <f t="shared" si="22"/>
        <v>0</v>
      </c>
      <c r="GF58" s="537">
        <f t="shared" si="22"/>
        <v>0</v>
      </c>
      <c r="GG58" s="537">
        <f t="shared" si="22"/>
        <v>0</v>
      </c>
      <c r="GH58" s="537">
        <f t="shared" si="22"/>
        <v>0</v>
      </c>
      <c r="GI58" s="537">
        <f t="shared" si="22"/>
        <v>0</v>
      </c>
      <c r="GJ58" s="537">
        <f t="shared" si="22"/>
        <v>0</v>
      </c>
    </row>
    <row r="60" spans="2:2" ht="12.75">
      <c r="B60" s="534" t="s">
        <v>61</v>
      </c>
    </row>
    <row r="61" spans="5:192" ht="12.75">
      <c r="E61" s="535" t="str">
        <f>E$58</f>
        <v>Financial close date flag</v>
      </c>
      <c r="G61" s="537" t="str">
        <f>G$58</f>
        <v>flag</v>
      </c>
      <c r="H61" s="537">
        <f>H$58</f>
        <v>1</v>
      </c>
      <c r="J61" s="537">
        <f t="shared" si="23" ref="J61:GJ61">J$58</f>
        <v>0</v>
      </c>
      <c r="K61" s="537">
        <f t="shared" si="23"/>
        <v>0</v>
      </c>
      <c r="L61" s="537">
        <f t="shared" si="23"/>
        <v>0</v>
      </c>
      <c r="M61" s="537">
        <f t="shared" si="23"/>
        <v>0</v>
      </c>
      <c r="N61" s="537">
        <f t="shared" si="23"/>
        <v>0</v>
      </c>
      <c r="O61" s="537">
        <f t="shared" si="23"/>
        <v>1</v>
      </c>
      <c r="P61" s="537">
        <f t="shared" si="23"/>
        <v>0</v>
      </c>
      <c r="Q61" s="537">
        <f t="shared" si="23"/>
        <v>0</v>
      </c>
      <c r="R61" s="537">
        <f t="shared" si="23"/>
        <v>0</v>
      </c>
      <c r="S61" s="537">
        <f t="shared" si="23"/>
        <v>0</v>
      </c>
      <c r="T61" s="537">
        <f t="shared" si="23"/>
        <v>0</v>
      </c>
      <c r="U61" s="537">
        <f t="shared" si="23"/>
        <v>0</v>
      </c>
      <c r="V61" s="537">
        <f t="shared" si="23"/>
        <v>0</v>
      </c>
      <c r="W61" s="537">
        <f t="shared" si="23"/>
        <v>0</v>
      </c>
      <c r="X61" s="537">
        <f t="shared" si="23"/>
        <v>0</v>
      </c>
      <c r="Y61" s="537">
        <f t="shared" si="23"/>
        <v>0</v>
      </c>
      <c r="Z61" s="537">
        <f t="shared" si="23"/>
        <v>0</v>
      </c>
      <c r="AA61" s="537">
        <f t="shared" si="23"/>
        <v>0</v>
      </c>
      <c r="AB61" s="537">
        <f t="shared" si="23"/>
        <v>0</v>
      </c>
      <c r="AC61" s="537">
        <f t="shared" si="23"/>
        <v>0</v>
      </c>
      <c r="AD61" s="537">
        <f t="shared" si="23"/>
        <v>0</v>
      </c>
      <c r="AE61" s="537">
        <f t="shared" si="23"/>
        <v>0</v>
      </c>
      <c r="AF61" s="537">
        <f t="shared" si="23"/>
        <v>0</v>
      </c>
      <c r="AG61" s="537">
        <f t="shared" si="23"/>
        <v>0</v>
      </c>
      <c r="AH61" s="537">
        <f t="shared" si="23"/>
        <v>0</v>
      </c>
      <c r="AI61" s="537">
        <f t="shared" si="23"/>
        <v>0</v>
      </c>
      <c r="AJ61" s="537">
        <f t="shared" si="23"/>
        <v>0</v>
      </c>
      <c r="AK61" s="537">
        <f t="shared" si="23"/>
        <v>0</v>
      </c>
      <c r="AL61" s="537">
        <f t="shared" si="23"/>
        <v>0</v>
      </c>
      <c r="AM61" s="537">
        <f t="shared" si="23"/>
        <v>0</v>
      </c>
      <c r="AN61" s="537">
        <f t="shared" si="23"/>
        <v>0</v>
      </c>
      <c r="AO61" s="537">
        <f t="shared" si="23"/>
        <v>0</v>
      </c>
      <c r="AP61" s="537">
        <f t="shared" si="23"/>
        <v>0</v>
      </c>
      <c r="AQ61" s="537">
        <f t="shared" si="23"/>
        <v>0</v>
      </c>
      <c r="AR61" s="537">
        <f t="shared" si="23"/>
        <v>0</v>
      </c>
      <c r="AS61" s="537">
        <f t="shared" si="23"/>
        <v>0</v>
      </c>
      <c r="AT61" s="537">
        <f t="shared" si="23"/>
        <v>0</v>
      </c>
      <c r="AU61" s="537">
        <f t="shared" si="23"/>
        <v>0</v>
      </c>
      <c r="AV61" s="537">
        <f t="shared" si="23"/>
        <v>0</v>
      </c>
      <c r="AW61" s="537">
        <f t="shared" si="23"/>
        <v>0</v>
      </c>
      <c r="AX61" s="537">
        <f t="shared" si="23"/>
        <v>0</v>
      </c>
      <c r="AY61" s="537">
        <f t="shared" si="23"/>
        <v>0</v>
      </c>
      <c r="AZ61" s="537">
        <f t="shared" si="23"/>
        <v>0</v>
      </c>
      <c r="BA61" s="537">
        <f t="shared" si="23"/>
        <v>0</v>
      </c>
      <c r="BB61" s="537">
        <f t="shared" si="23"/>
        <v>0</v>
      </c>
      <c r="BC61" s="537">
        <f t="shared" si="23"/>
        <v>0</v>
      </c>
      <c r="BD61" s="537">
        <f t="shared" si="23"/>
        <v>0</v>
      </c>
      <c r="BE61" s="537">
        <f t="shared" si="23"/>
        <v>0</v>
      </c>
      <c r="BF61" s="537">
        <f t="shared" si="23"/>
        <v>0</v>
      </c>
      <c r="BG61" s="537">
        <f t="shared" si="23"/>
        <v>0</v>
      </c>
      <c r="BH61" s="537">
        <f t="shared" si="23"/>
        <v>0</v>
      </c>
      <c r="BI61" s="537">
        <f t="shared" si="23"/>
        <v>0</v>
      </c>
      <c r="BJ61" s="537">
        <f t="shared" si="23"/>
        <v>0</v>
      </c>
      <c r="BK61" s="537">
        <f t="shared" si="23"/>
        <v>0</v>
      </c>
      <c r="BL61" s="537">
        <f t="shared" si="23"/>
        <v>0</v>
      </c>
      <c r="BM61" s="537">
        <f t="shared" si="23"/>
        <v>0</v>
      </c>
      <c r="BN61" s="537">
        <f t="shared" si="23"/>
        <v>0</v>
      </c>
      <c r="BO61" s="537">
        <f t="shared" si="23"/>
        <v>0</v>
      </c>
      <c r="BP61" s="537">
        <f t="shared" si="23"/>
        <v>0</v>
      </c>
      <c r="BQ61" s="537">
        <f t="shared" si="23"/>
        <v>0</v>
      </c>
      <c r="BR61" s="537">
        <f t="shared" si="23"/>
        <v>0</v>
      </c>
      <c r="BS61" s="537">
        <f t="shared" si="23"/>
        <v>0</v>
      </c>
      <c r="BT61" s="537">
        <f t="shared" si="23"/>
        <v>0</v>
      </c>
      <c r="BU61" s="537">
        <f t="shared" si="23"/>
        <v>0</v>
      </c>
      <c r="BV61" s="537">
        <f t="shared" si="23"/>
        <v>0</v>
      </c>
      <c r="BW61" s="537">
        <f t="shared" si="23"/>
        <v>0</v>
      </c>
      <c r="BX61" s="537">
        <f t="shared" si="23"/>
        <v>0</v>
      </c>
      <c r="BY61" s="537">
        <f t="shared" si="23"/>
        <v>0</v>
      </c>
      <c r="BZ61" s="537">
        <f t="shared" si="23"/>
        <v>0</v>
      </c>
      <c r="CA61" s="537">
        <f t="shared" si="23"/>
        <v>0</v>
      </c>
      <c r="CB61" s="537">
        <f t="shared" si="23"/>
        <v>0</v>
      </c>
      <c r="CC61" s="537">
        <f t="shared" si="23"/>
        <v>0</v>
      </c>
      <c r="CD61" s="537">
        <f t="shared" si="23"/>
        <v>0</v>
      </c>
      <c r="CE61" s="537">
        <f t="shared" si="23"/>
        <v>0</v>
      </c>
      <c r="CF61" s="537">
        <f t="shared" si="23"/>
        <v>0</v>
      </c>
      <c r="CG61" s="537">
        <f t="shared" si="23"/>
        <v>0</v>
      </c>
      <c r="CH61" s="537">
        <f t="shared" si="23"/>
        <v>0</v>
      </c>
      <c r="CI61" s="537">
        <f t="shared" si="23"/>
        <v>0</v>
      </c>
      <c r="CJ61" s="537">
        <f t="shared" si="23"/>
        <v>0</v>
      </c>
      <c r="CK61" s="537">
        <f t="shared" si="23"/>
        <v>0</v>
      </c>
      <c r="CL61" s="537">
        <f t="shared" si="23"/>
        <v>0</v>
      </c>
      <c r="CM61" s="537">
        <f t="shared" si="23"/>
        <v>0</v>
      </c>
      <c r="CN61" s="537">
        <f t="shared" si="23"/>
        <v>0</v>
      </c>
      <c r="CO61" s="537">
        <f t="shared" si="23"/>
        <v>0</v>
      </c>
      <c r="CP61" s="537">
        <f t="shared" si="23"/>
        <v>0</v>
      </c>
      <c r="CQ61" s="537">
        <f t="shared" si="23"/>
        <v>0</v>
      </c>
      <c r="CR61" s="537">
        <f t="shared" si="23"/>
        <v>0</v>
      </c>
      <c r="CS61" s="537">
        <f t="shared" si="23"/>
        <v>0</v>
      </c>
      <c r="CT61" s="537">
        <f t="shared" si="23"/>
        <v>0</v>
      </c>
      <c r="CU61" s="537">
        <f t="shared" si="23"/>
        <v>0</v>
      </c>
      <c r="CV61" s="537">
        <f t="shared" si="23"/>
        <v>0</v>
      </c>
      <c r="CW61" s="537">
        <f t="shared" si="23"/>
        <v>0</v>
      </c>
      <c r="CX61" s="537">
        <f t="shared" si="23"/>
        <v>0</v>
      </c>
      <c r="CY61" s="537">
        <f t="shared" si="23"/>
        <v>0</v>
      </c>
      <c r="CZ61" s="537">
        <f t="shared" si="23"/>
        <v>0</v>
      </c>
      <c r="DA61" s="537">
        <f t="shared" si="23"/>
        <v>0</v>
      </c>
      <c r="DB61" s="537">
        <f t="shared" si="23"/>
        <v>0</v>
      </c>
      <c r="DC61" s="537">
        <f t="shared" si="23"/>
        <v>0</v>
      </c>
      <c r="DD61" s="537">
        <f t="shared" si="23"/>
        <v>0</v>
      </c>
      <c r="DE61" s="537">
        <f t="shared" si="23"/>
        <v>0</v>
      </c>
      <c r="DF61" s="537">
        <f t="shared" si="23"/>
        <v>0</v>
      </c>
      <c r="DG61" s="537">
        <f t="shared" si="23"/>
        <v>0</v>
      </c>
      <c r="DH61" s="537">
        <f t="shared" si="23"/>
        <v>0</v>
      </c>
      <c r="DI61" s="537">
        <f t="shared" si="23"/>
        <v>0</v>
      </c>
      <c r="DJ61" s="537">
        <f t="shared" si="23"/>
        <v>0</v>
      </c>
      <c r="DK61" s="537">
        <f t="shared" si="23"/>
        <v>0</v>
      </c>
      <c r="DL61" s="537">
        <f t="shared" si="23"/>
        <v>0</v>
      </c>
      <c r="DM61" s="537">
        <f t="shared" si="23"/>
        <v>0</v>
      </c>
      <c r="DN61" s="537">
        <f t="shared" si="23"/>
        <v>0</v>
      </c>
      <c r="DO61" s="537">
        <f t="shared" si="23"/>
        <v>0</v>
      </c>
      <c r="DP61" s="537">
        <f t="shared" si="23"/>
        <v>0</v>
      </c>
      <c r="DQ61" s="537">
        <f t="shared" si="23"/>
        <v>0</v>
      </c>
      <c r="DR61" s="537">
        <f t="shared" si="23"/>
        <v>0</v>
      </c>
      <c r="DS61" s="537">
        <f t="shared" si="23"/>
        <v>0</v>
      </c>
      <c r="DT61" s="537">
        <f t="shared" si="23"/>
        <v>0</v>
      </c>
      <c r="DU61" s="537">
        <f t="shared" si="23"/>
        <v>0</v>
      </c>
      <c r="DV61" s="537">
        <f t="shared" si="23"/>
        <v>0</v>
      </c>
      <c r="DW61" s="537">
        <f t="shared" si="23"/>
        <v>0</v>
      </c>
      <c r="DX61" s="537">
        <f t="shared" si="23"/>
        <v>0</v>
      </c>
      <c r="DY61" s="537">
        <f t="shared" si="23"/>
        <v>0</v>
      </c>
      <c r="DZ61" s="537">
        <f t="shared" si="23"/>
        <v>0</v>
      </c>
      <c r="EA61" s="537">
        <f t="shared" si="23"/>
        <v>0</v>
      </c>
      <c r="EB61" s="537">
        <f t="shared" si="23"/>
        <v>0</v>
      </c>
      <c r="EC61" s="537">
        <f t="shared" si="23"/>
        <v>0</v>
      </c>
      <c r="ED61" s="537">
        <f t="shared" si="23"/>
        <v>0</v>
      </c>
      <c r="EE61" s="537">
        <f t="shared" si="23"/>
        <v>0</v>
      </c>
      <c r="EF61" s="537">
        <f t="shared" si="23"/>
        <v>0</v>
      </c>
      <c r="EG61" s="537">
        <f t="shared" si="23"/>
        <v>0</v>
      </c>
      <c r="EH61" s="537">
        <f t="shared" si="23"/>
        <v>0</v>
      </c>
      <c r="EI61" s="537">
        <f t="shared" si="23"/>
        <v>0</v>
      </c>
      <c r="EJ61" s="537">
        <f t="shared" si="23"/>
        <v>0</v>
      </c>
      <c r="EK61" s="537">
        <f t="shared" si="23"/>
        <v>0</v>
      </c>
      <c r="EL61" s="537">
        <f t="shared" si="23"/>
        <v>0</v>
      </c>
      <c r="EM61" s="537">
        <f t="shared" si="23"/>
        <v>0</v>
      </c>
      <c r="EN61" s="537">
        <f t="shared" si="23"/>
        <v>0</v>
      </c>
      <c r="EO61" s="537">
        <f t="shared" si="23"/>
        <v>0</v>
      </c>
      <c r="EP61" s="537">
        <f t="shared" si="23"/>
        <v>0</v>
      </c>
      <c r="EQ61" s="537">
        <f t="shared" si="23"/>
        <v>0</v>
      </c>
      <c r="ER61" s="537">
        <f t="shared" si="23"/>
        <v>0</v>
      </c>
      <c r="ES61" s="537">
        <f t="shared" si="23"/>
        <v>0</v>
      </c>
      <c r="ET61" s="537">
        <f t="shared" si="23"/>
        <v>0</v>
      </c>
      <c r="EU61" s="537">
        <f t="shared" si="23"/>
        <v>0</v>
      </c>
      <c r="EV61" s="537">
        <f t="shared" si="23"/>
        <v>0</v>
      </c>
      <c r="EW61" s="537">
        <f t="shared" si="23"/>
        <v>0</v>
      </c>
      <c r="EX61" s="537">
        <f t="shared" si="23"/>
        <v>0</v>
      </c>
      <c r="EY61" s="537">
        <f t="shared" si="23"/>
        <v>0</v>
      </c>
      <c r="EZ61" s="537">
        <f t="shared" si="23"/>
        <v>0</v>
      </c>
      <c r="FA61" s="537">
        <f t="shared" si="23"/>
        <v>0</v>
      </c>
      <c r="FB61" s="537">
        <f t="shared" si="23"/>
        <v>0</v>
      </c>
      <c r="FC61" s="537">
        <f t="shared" si="23"/>
        <v>0</v>
      </c>
      <c r="FD61" s="537">
        <f t="shared" si="23"/>
        <v>0</v>
      </c>
      <c r="FE61" s="537">
        <f t="shared" si="23"/>
        <v>0</v>
      </c>
      <c r="FF61" s="537">
        <f t="shared" si="23"/>
        <v>0</v>
      </c>
      <c r="FG61" s="537">
        <f t="shared" si="23"/>
        <v>0</v>
      </c>
      <c r="FH61" s="537">
        <f t="shared" si="23"/>
        <v>0</v>
      </c>
      <c r="FI61" s="537">
        <f t="shared" si="23"/>
        <v>0</v>
      </c>
      <c r="FJ61" s="537">
        <f t="shared" si="23"/>
        <v>0</v>
      </c>
      <c r="FK61" s="537">
        <f t="shared" si="23"/>
        <v>0</v>
      </c>
      <c r="FL61" s="537">
        <f t="shared" si="23"/>
        <v>0</v>
      </c>
      <c r="FM61" s="537">
        <f t="shared" si="23"/>
        <v>0</v>
      </c>
      <c r="FN61" s="537">
        <f t="shared" si="23"/>
        <v>0</v>
      </c>
      <c r="FO61" s="537">
        <f t="shared" si="23"/>
        <v>0</v>
      </c>
      <c r="FP61" s="537">
        <f t="shared" si="23"/>
        <v>0</v>
      </c>
      <c r="FQ61" s="537">
        <f t="shared" si="23"/>
        <v>0</v>
      </c>
      <c r="FR61" s="537">
        <f t="shared" si="23"/>
        <v>0</v>
      </c>
      <c r="FS61" s="537">
        <f t="shared" si="23"/>
        <v>0</v>
      </c>
      <c r="FT61" s="537">
        <f t="shared" si="23"/>
        <v>0</v>
      </c>
      <c r="FU61" s="537">
        <f t="shared" si="23"/>
        <v>0</v>
      </c>
      <c r="FV61" s="537">
        <f t="shared" si="23"/>
        <v>0</v>
      </c>
      <c r="FW61" s="537">
        <f t="shared" si="23"/>
        <v>0</v>
      </c>
      <c r="FX61" s="537">
        <f t="shared" si="23"/>
        <v>0</v>
      </c>
      <c r="FY61" s="537">
        <f t="shared" si="23"/>
        <v>0</v>
      </c>
      <c r="FZ61" s="537">
        <f t="shared" si="23"/>
        <v>0</v>
      </c>
      <c r="GA61" s="537">
        <f t="shared" si="23"/>
        <v>0</v>
      </c>
      <c r="GB61" s="537">
        <f t="shared" si="23"/>
        <v>0</v>
      </c>
      <c r="GC61" s="537">
        <f t="shared" si="23"/>
        <v>0</v>
      </c>
      <c r="GD61" s="537">
        <f t="shared" si="23"/>
        <v>0</v>
      </c>
      <c r="GE61" s="537">
        <f t="shared" si="23"/>
        <v>0</v>
      </c>
      <c r="GF61" s="537">
        <f t="shared" si="23"/>
        <v>0</v>
      </c>
      <c r="GG61" s="537">
        <f t="shared" si="23"/>
        <v>0</v>
      </c>
      <c r="GH61" s="537">
        <f t="shared" si="23"/>
        <v>0</v>
      </c>
      <c r="GI61" s="537">
        <f t="shared" si="23"/>
        <v>0</v>
      </c>
      <c r="GJ61" s="537">
        <f t="shared" si="23"/>
        <v>0</v>
      </c>
    </row>
    <row r="62" spans="5:192" ht="12.75">
      <c r="E62" s="535" t="s">
        <v>61</v>
      </c>
      <c r="G62" s="537" t="s">
        <v>50</v>
      </c>
      <c r="H62" s="537">
        <f>SUM(J62:GJ62)</f>
        <v>1</v>
      </c>
      <c r="J62" s="537">
        <f t="shared" si="24" ref="J62:GJ62">I61</f>
        <v>0</v>
      </c>
      <c r="K62" s="537">
        <f t="shared" si="24"/>
        <v>0</v>
      </c>
      <c r="L62" s="537">
        <f t="shared" si="24"/>
        <v>0</v>
      </c>
      <c r="M62" s="537">
        <f t="shared" si="24"/>
        <v>0</v>
      </c>
      <c r="N62" s="537">
        <f t="shared" si="24"/>
        <v>0</v>
      </c>
      <c r="O62" s="537">
        <f t="shared" si="24"/>
        <v>0</v>
      </c>
      <c r="P62" s="537">
        <f t="shared" si="24"/>
        <v>1</v>
      </c>
      <c r="Q62" s="537">
        <f t="shared" si="24"/>
        <v>0</v>
      </c>
      <c r="R62" s="537">
        <f t="shared" si="24"/>
        <v>0</v>
      </c>
      <c r="S62" s="537">
        <f t="shared" si="24"/>
        <v>0</v>
      </c>
      <c r="T62" s="537">
        <f t="shared" si="24"/>
        <v>0</v>
      </c>
      <c r="U62" s="537">
        <f t="shared" si="24"/>
        <v>0</v>
      </c>
      <c r="V62" s="537">
        <f t="shared" si="24"/>
        <v>0</v>
      </c>
      <c r="W62" s="537">
        <f t="shared" si="24"/>
        <v>0</v>
      </c>
      <c r="X62" s="537">
        <f t="shared" si="24"/>
        <v>0</v>
      </c>
      <c r="Y62" s="537">
        <f t="shared" si="24"/>
        <v>0</v>
      </c>
      <c r="Z62" s="537">
        <f t="shared" si="24"/>
        <v>0</v>
      </c>
      <c r="AA62" s="537">
        <f t="shared" si="24"/>
        <v>0</v>
      </c>
      <c r="AB62" s="537">
        <f t="shared" si="24"/>
        <v>0</v>
      </c>
      <c r="AC62" s="537">
        <f t="shared" si="24"/>
        <v>0</v>
      </c>
      <c r="AD62" s="537">
        <f t="shared" si="24"/>
        <v>0</v>
      </c>
      <c r="AE62" s="537">
        <f t="shared" si="24"/>
        <v>0</v>
      </c>
      <c r="AF62" s="537">
        <f t="shared" si="24"/>
        <v>0</v>
      </c>
      <c r="AG62" s="537">
        <f t="shared" si="24"/>
        <v>0</v>
      </c>
      <c r="AH62" s="537">
        <f t="shared" si="24"/>
        <v>0</v>
      </c>
      <c r="AI62" s="537">
        <f t="shared" si="24"/>
        <v>0</v>
      </c>
      <c r="AJ62" s="537">
        <f t="shared" si="24"/>
        <v>0</v>
      </c>
      <c r="AK62" s="537">
        <f t="shared" si="24"/>
        <v>0</v>
      </c>
      <c r="AL62" s="537">
        <f t="shared" si="24"/>
        <v>0</v>
      </c>
      <c r="AM62" s="537">
        <f t="shared" si="24"/>
        <v>0</v>
      </c>
      <c r="AN62" s="537">
        <f t="shared" si="24"/>
        <v>0</v>
      </c>
      <c r="AO62" s="537">
        <f t="shared" si="24"/>
        <v>0</v>
      </c>
      <c r="AP62" s="537">
        <f t="shared" si="24"/>
        <v>0</v>
      </c>
      <c r="AQ62" s="537">
        <f t="shared" si="24"/>
        <v>0</v>
      </c>
      <c r="AR62" s="537">
        <f t="shared" si="24"/>
        <v>0</v>
      </c>
      <c r="AS62" s="537">
        <f t="shared" si="24"/>
        <v>0</v>
      </c>
      <c r="AT62" s="537">
        <f t="shared" si="24"/>
        <v>0</v>
      </c>
      <c r="AU62" s="537">
        <f t="shared" si="24"/>
        <v>0</v>
      </c>
      <c r="AV62" s="537">
        <f t="shared" si="24"/>
        <v>0</v>
      </c>
      <c r="AW62" s="537">
        <f t="shared" si="24"/>
        <v>0</v>
      </c>
      <c r="AX62" s="537">
        <f t="shared" si="24"/>
        <v>0</v>
      </c>
      <c r="AY62" s="537">
        <f t="shared" si="24"/>
        <v>0</v>
      </c>
      <c r="AZ62" s="537">
        <f t="shared" si="24"/>
        <v>0</v>
      </c>
      <c r="BA62" s="537">
        <f t="shared" si="24"/>
        <v>0</v>
      </c>
      <c r="BB62" s="537">
        <f t="shared" si="24"/>
        <v>0</v>
      </c>
      <c r="BC62" s="537">
        <f t="shared" si="24"/>
        <v>0</v>
      </c>
      <c r="BD62" s="537">
        <f t="shared" si="24"/>
        <v>0</v>
      </c>
      <c r="BE62" s="537">
        <f t="shared" si="24"/>
        <v>0</v>
      </c>
      <c r="BF62" s="537">
        <f t="shared" si="24"/>
        <v>0</v>
      </c>
      <c r="BG62" s="537">
        <f t="shared" si="24"/>
        <v>0</v>
      </c>
      <c r="BH62" s="537">
        <f t="shared" si="24"/>
        <v>0</v>
      </c>
      <c r="BI62" s="537">
        <f t="shared" si="24"/>
        <v>0</v>
      </c>
      <c r="BJ62" s="537">
        <f t="shared" si="24"/>
        <v>0</v>
      </c>
      <c r="BK62" s="537">
        <f t="shared" si="24"/>
        <v>0</v>
      </c>
      <c r="BL62" s="537">
        <f t="shared" si="24"/>
        <v>0</v>
      </c>
      <c r="BM62" s="537">
        <f t="shared" si="24"/>
        <v>0</v>
      </c>
      <c r="BN62" s="537">
        <f t="shared" si="24"/>
        <v>0</v>
      </c>
      <c r="BO62" s="537">
        <f t="shared" si="24"/>
        <v>0</v>
      </c>
      <c r="BP62" s="537">
        <f t="shared" si="24"/>
        <v>0</v>
      </c>
      <c r="BQ62" s="537">
        <f t="shared" si="24"/>
        <v>0</v>
      </c>
      <c r="BR62" s="537">
        <f t="shared" si="24"/>
        <v>0</v>
      </c>
      <c r="BS62" s="537">
        <f t="shared" si="24"/>
        <v>0</v>
      </c>
      <c r="BT62" s="537">
        <f t="shared" si="24"/>
        <v>0</v>
      </c>
      <c r="BU62" s="537">
        <f t="shared" si="24"/>
        <v>0</v>
      </c>
      <c r="BV62" s="537">
        <f t="shared" si="24"/>
        <v>0</v>
      </c>
      <c r="BW62" s="537">
        <f t="shared" si="24"/>
        <v>0</v>
      </c>
      <c r="BX62" s="537">
        <f t="shared" si="24"/>
        <v>0</v>
      </c>
      <c r="BY62" s="537">
        <f t="shared" si="24"/>
        <v>0</v>
      </c>
      <c r="BZ62" s="537">
        <f t="shared" si="24"/>
        <v>0</v>
      </c>
      <c r="CA62" s="537">
        <f t="shared" si="24"/>
        <v>0</v>
      </c>
      <c r="CB62" s="537">
        <f t="shared" si="24"/>
        <v>0</v>
      </c>
      <c r="CC62" s="537">
        <f t="shared" si="24"/>
        <v>0</v>
      </c>
      <c r="CD62" s="537">
        <f t="shared" si="24"/>
        <v>0</v>
      </c>
      <c r="CE62" s="537">
        <f t="shared" si="24"/>
        <v>0</v>
      </c>
      <c r="CF62" s="537">
        <f t="shared" si="24"/>
        <v>0</v>
      </c>
      <c r="CG62" s="537">
        <f t="shared" si="24"/>
        <v>0</v>
      </c>
      <c r="CH62" s="537">
        <f t="shared" si="24"/>
        <v>0</v>
      </c>
      <c r="CI62" s="537">
        <f t="shared" si="24"/>
        <v>0</v>
      </c>
      <c r="CJ62" s="537">
        <f t="shared" si="24"/>
        <v>0</v>
      </c>
      <c r="CK62" s="537">
        <f t="shared" si="24"/>
        <v>0</v>
      </c>
      <c r="CL62" s="537">
        <f t="shared" si="24"/>
        <v>0</v>
      </c>
      <c r="CM62" s="537">
        <f t="shared" si="24"/>
        <v>0</v>
      </c>
      <c r="CN62" s="537">
        <f t="shared" si="24"/>
        <v>0</v>
      </c>
      <c r="CO62" s="537">
        <f t="shared" si="24"/>
        <v>0</v>
      </c>
      <c r="CP62" s="537">
        <f t="shared" si="24"/>
        <v>0</v>
      </c>
      <c r="CQ62" s="537">
        <f t="shared" si="24"/>
        <v>0</v>
      </c>
      <c r="CR62" s="537">
        <f t="shared" si="24"/>
        <v>0</v>
      </c>
      <c r="CS62" s="537">
        <f t="shared" si="24"/>
        <v>0</v>
      </c>
      <c r="CT62" s="537">
        <f t="shared" si="24"/>
        <v>0</v>
      </c>
      <c r="CU62" s="537">
        <f t="shared" si="24"/>
        <v>0</v>
      </c>
      <c r="CV62" s="537">
        <f t="shared" si="24"/>
        <v>0</v>
      </c>
      <c r="CW62" s="537">
        <f t="shared" si="24"/>
        <v>0</v>
      </c>
      <c r="CX62" s="537">
        <f t="shared" si="24"/>
        <v>0</v>
      </c>
      <c r="CY62" s="537">
        <f t="shared" si="24"/>
        <v>0</v>
      </c>
      <c r="CZ62" s="537">
        <f t="shared" si="24"/>
        <v>0</v>
      </c>
      <c r="DA62" s="537">
        <f t="shared" si="24"/>
        <v>0</v>
      </c>
      <c r="DB62" s="537">
        <f t="shared" si="24"/>
        <v>0</v>
      </c>
      <c r="DC62" s="537">
        <f t="shared" si="24"/>
        <v>0</v>
      </c>
      <c r="DD62" s="537">
        <f t="shared" si="24"/>
        <v>0</v>
      </c>
      <c r="DE62" s="537">
        <f t="shared" si="24"/>
        <v>0</v>
      </c>
      <c r="DF62" s="537">
        <f t="shared" si="24"/>
        <v>0</v>
      </c>
      <c r="DG62" s="537">
        <f t="shared" si="24"/>
        <v>0</v>
      </c>
      <c r="DH62" s="537">
        <f t="shared" si="24"/>
        <v>0</v>
      </c>
      <c r="DI62" s="537">
        <f t="shared" si="24"/>
        <v>0</v>
      </c>
      <c r="DJ62" s="537">
        <f t="shared" si="24"/>
        <v>0</v>
      </c>
      <c r="DK62" s="537">
        <f t="shared" si="24"/>
        <v>0</v>
      </c>
      <c r="DL62" s="537">
        <f t="shared" si="24"/>
        <v>0</v>
      </c>
      <c r="DM62" s="537">
        <f t="shared" si="24"/>
        <v>0</v>
      </c>
      <c r="DN62" s="537">
        <f t="shared" si="24"/>
        <v>0</v>
      </c>
      <c r="DO62" s="537">
        <f t="shared" si="24"/>
        <v>0</v>
      </c>
      <c r="DP62" s="537">
        <f t="shared" si="24"/>
        <v>0</v>
      </c>
      <c r="DQ62" s="537">
        <f t="shared" si="24"/>
        <v>0</v>
      </c>
      <c r="DR62" s="537">
        <f t="shared" si="24"/>
        <v>0</v>
      </c>
      <c r="DS62" s="537">
        <f t="shared" si="24"/>
        <v>0</v>
      </c>
      <c r="DT62" s="537">
        <f t="shared" si="24"/>
        <v>0</v>
      </c>
      <c r="DU62" s="537">
        <f t="shared" si="24"/>
        <v>0</v>
      </c>
      <c r="DV62" s="537">
        <f t="shared" si="24"/>
        <v>0</v>
      </c>
      <c r="DW62" s="537">
        <f t="shared" si="24"/>
        <v>0</v>
      </c>
      <c r="DX62" s="537">
        <f t="shared" si="24"/>
        <v>0</v>
      </c>
      <c r="DY62" s="537">
        <f t="shared" si="24"/>
        <v>0</v>
      </c>
      <c r="DZ62" s="537">
        <f t="shared" si="24"/>
        <v>0</v>
      </c>
      <c r="EA62" s="537">
        <f t="shared" si="24"/>
        <v>0</v>
      </c>
      <c r="EB62" s="537">
        <f t="shared" si="24"/>
        <v>0</v>
      </c>
      <c r="EC62" s="537">
        <f t="shared" si="24"/>
        <v>0</v>
      </c>
      <c r="ED62" s="537">
        <f t="shared" si="24"/>
        <v>0</v>
      </c>
      <c r="EE62" s="537">
        <f t="shared" si="24"/>
        <v>0</v>
      </c>
      <c r="EF62" s="537">
        <f t="shared" si="24"/>
        <v>0</v>
      </c>
      <c r="EG62" s="537">
        <f t="shared" si="24"/>
        <v>0</v>
      </c>
      <c r="EH62" s="537">
        <f t="shared" si="24"/>
        <v>0</v>
      </c>
      <c r="EI62" s="537">
        <f t="shared" si="24"/>
        <v>0</v>
      </c>
      <c r="EJ62" s="537">
        <f t="shared" si="24"/>
        <v>0</v>
      </c>
      <c r="EK62" s="537">
        <f t="shared" si="24"/>
        <v>0</v>
      </c>
      <c r="EL62" s="537">
        <f t="shared" si="24"/>
        <v>0</v>
      </c>
      <c r="EM62" s="537">
        <f t="shared" si="24"/>
        <v>0</v>
      </c>
      <c r="EN62" s="537">
        <f t="shared" si="24"/>
        <v>0</v>
      </c>
      <c r="EO62" s="537">
        <f t="shared" si="24"/>
        <v>0</v>
      </c>
      <c r="EP62" s="537">
        <f t="shared" si="24"/>
        <v>0</v>
      </c>
      <c r="EQ62" s="537">
        <f t="shared" si="24"/>
        <v>0</v>
      </c>
      <c r="ER62" s="537">
        <f t="shared" si="24"/>
        <v>0</v>
      </c>
      <c r="ES62" s="537">
        <f t="shared" si="24"/>
        <v>0</v>
      </c>
      <c r="ET62" s="537">
        <f t="shared" si="24"/>
        <v>0</v>
      </c>
      <c r="EU62" s="537">
        <f t="shared" si="24"/>
        <v>0</v>
      </c>
      <c r="EV62" s="537">
        <f t="shared" si="24"/>
        <v>0</v>
      </c>
      <c r="EW62" s="537">
        <f t="shared" si="24"/>
        <v>0</v>
      </c>
      <c r="EX62" s="537">
        <f t="shared" si="24"/>
        <v>0</v>
      </c>
      <c r="EY62" s="537">
        <f t="shared" si="24"/>
        <v>0</v>
      </c>
      <c r="EZ62" s="537">
        <f t="shared" si="24"/>
        <v>0</v>
      </c>
      <c r="FA62" s="537">
        <f t="shared" si="24"/>
        <v>0</v>
      </c>
      <c r="FB62" s="537">
        <f t="shared" si="24"/>
        <v>0</v>
      </c>
      <c r="FC62" s="537">
        <f t="shared" si="24"/>
        <v>0</v>
      </c>
      <c r="FD62" s="537">
        <f t="shared" si="24"/>
        <v>0</v>
      </c>
      <c r="FE62" s="537">
        <f t="shared" si="24"/>
        <v>0</v>
      </c>
      <c r="FF62" s="537">
        <f t="shared" si="24"/>
        <v>0</v>
      </c>
      <c r="FG62" s="537">
        <f t="shared" si="24"/>
        <v>0</v>
      </c>
      <c r="FH62" s="537">
        <f t="shared" si="24"/>
        <v>0</v>
      </c>
      <c r="FI62" s="537">
        <f t="shared" si="24"/>
        <v>0</v>
      </c>
      <c r="FJ62" s="537">
        <f t="shared" si="24"/>
        <v>0</v>
      </c>
      <c r="FK62" s="537">
        <f t="shared" si="24"/>
        <v>0</v>
      </c>
      <c r="FL62" s="537">
        <f t="shared" si="24"/>
        <v>0</v>
      </c>
      <c r="FM62" s="537">
        <f t="shared" si="24"/>
        <v>0</v>
      </c>
      <c r="FN62" s="537">
        <f t="shared" si="24"/>
        <v>0</v>
      </c>
      <c r="FO62" s="537">
        <f t="shared" si="24"/>
        <v>0</v>
      </c>
      <c r="FP62" s="537">
        <f t="shared" si="24"/>
        <v>0</v>
      </c>
      <c r="FQ62" s="537">
        <f t="shared" si="24"/>
        <v>0</v>
      </c>
      <c r="FR62" s="537">
        <f t="shared" si="24"/>
        <v>0</v>
      </c>
      <c r="FS62" s="537">
        <f t="shared" si="24"/>
        <v>0</v>
      </c>
      <c r="FT62" s="537">
        <f t="shared" si="24"/>
        <v>0</v>
      </c>
      <c r="FU62" s="537">
        <f t="shared" si="24"/>
        <v>0</v>
      </c>
      <c r="FV62" s="537">
        <f t="shared" si="24"/>
        <v>0</v>
      </c>
      <c r="FW62" s="537">
        <f t="shared" si="24"/>
        <v>0</v>
      </c>
      <c r="FX62" s="537">
        <f t="shared" si="24"/>
        <v>0</v>
      </c>
      <c r="FY62" s="537">
        <f t="shared" si="24"/>
        <v>0</v>
      </c>
      <c r="FZ62" s="537">
        <f t="shared" si="24"/>
        <v>0</v>
      </c>
      <c r="GA62" s="537">
        <f t="shared" si="24"/>
        <v>0</v>
      </c>
      <c r="GB62" s="537">
        <f t="shared" si="24"/>
        <v>0</v>
      </c>
      <c r="GC62" s="537">
        <f t="shared" si="24"/>
        <v>0</v>
      </c>
      <c r="GD62" s="537">
        <f t="shared" si="24"/>
        <v>0</v>
      </c>
      <c r="GE62" s="537">
        <f t="shared" si="24"/>
        <v>0</v>
      </c>
      <c r="GF62" s="537">
        <f t="shared" si="24"/>
        <v>0</v>
      </c>
      <c r="GG62" s="537">
        <f t="shared" si="24"/>
        <v>0</v>
      </c>
      <c r="GH62" s="537">
        <f t="shared" si="24"/>
        <v>0</v>
      </c>
      <c r="GI62" s="537">
        <f t="shared" si="24"/>
        <v>0</v>
      </c>
      <c r="GJ62" s="537">
        <f t="shared" si="24"/>
        <v>0</v>
      </c>
    </row>
    <row r="64" spans="2:2" ht="12.75">
      <c r="B64" s="534" t="s">
        <v>62</v>
      </c>
    </row>
    <row r="65" spans="5:7" ht="12.75">
      <c r="E65" s="535" t="str">
        <f>E$21</f>
        <v>End of construction period date</v>
      </c>
      <c r="F65" s="540">
        <f>F$21</f>
        <v>46934</v>
      </c>
      <c r="G65" s="540" t="str">
        <f>G$21</f>
        <v>date</v>
      </c>
    </row>
    <row r="66" spans="5:192" ht="12.75">
      <c r="E66" s="535" t="str">
        <f>E$50</f>
        <v>Model period ending</v>
      </c>
      <c r="G66" s="540" t="str">
        <f>G$50</f>
        <v>date</v>
      </c>
      <c r="J66" s="540">
        <f t="shared" si="25" ref="J66:GJ66">J$50</f>
        <v>46053</v>
      </c>
      <c r="K66" s="540">
        <f t="shared" si="25"/>
        <v>46081</v>
      </c>
      <c r="L66" s="540">
        <f t="shared" si="25"/>
        <v>46112</v>
      </c>
      <c r="M66" s="540">
        <f t="shared" si="25"/>
        <v>46142</v>
      </c>
      <c r="N66" s="540">
        <f t="shared" si="25"/>
        <v>46173</v>
      </c>
      <c r="O66" s="540">
        <f t="shared" si="25"/>
        <v>46203</v>
      </c>
      <c r="P66" s="540">
        <f t="shared" si="25"/>
        <v>46234</v>
      </c>
      <c r="Q66" s="540">
        <f t="shared" si="25"/>
        <v>46265</v>
      </c>
      <c r="R66" s="540">
        <f t="shared" si="25"/>
        <v>46295</v>
      </c>
      <c r="S66" s="540">
        <f t="shared" si="25"/>
        <v>46326</v>
      </c>
      <c r="T66" s="540">
        <f t="shared" si="25"/>
        <v>46356</v>
      </c>
      <c r="U66" s="540">
        <f t="shared" si="25"/>
        <v>46387</v>
      </c>
      <c r="V66" s="540">
        <f t="shared" si="25"/>
        <v>46418</v>
      </c>
      <c r="W66" s="540">
        <f t="shared" si="25"/>
        <v>46446</v>
      </c>
      <c r="X66" s="540">
        <f t="shared" si="25"/>
        <v>46477</v>
      </c>
      <c r="Y66" s="540">
        <f t="shared" si="25"/>
        <v>46507</v>
      </c>
      <c r="Z66" s="540">
        <f t="shared" si="25"/>
        <v>46538</v>
      </c>
      <c r="AA66" s="540">
        <f t="shared" si="25"/>
        <v>46568</v>
      </c>
      <c r="AB66" s="540">
        <f t="shared" si="25"/>
        <v>46599</v>
      </c>
      <c r="AC66" s="540">
        <f t="shared" si="25"/>
        <v>46630</v>
      </c>
      <c r="AD66" s="540">
        <f t="shared" si="25"/>
        <v>46660</v>
      </c>
      <c r="AE66" s="540">
        <f t="shared" si="25"/>
        <v>46691</v>
      </c>
      <c r="AF66" s="540">
        <f t="shared" si="25"/>
        <v>46721</v>
      </c>
      <c r="AG66" s="540">
        <f t="shared" si="25"/>
        <v>46752</v>
      </c>
      <c r="AH66" s="540">
        <f t="shared" si="25"/>
        <v>46783</v>
      </c>
      <c r="AI66" s="540">
        <f t="shared" si="25"/>
        <v>46812</v>
      </c>
      <c r="AJ66" s="540">
        <f t="shared" si="25"/>
        <v>46843</v>
      </c>
      <c r="AK66" s="540">
        <f t="shared" si="25"/>
        <v>46873</v>
      </c>
      <c r="AL66" s="540">
        <f t="shared" si="25"/>
        <v>46904</v>
      </c>
      <c r="AM66" s="540">
        <f t="shared" si="25"/>
        <v>46934</v>
      </c>
      <c r="AN66" s="540">
        <f t="shared" si="25"/>
        <v>47026</v>
      </c>
      <c r="AO66" s="540">
        <f t="shared" si="25"/>
        <v>47118</v>
      </c>
      <c r="AP66" s="540">
        <f t="shared" si="25"/>
        <v>47208</v>
      </c>
      <c r="AQ66" s="540">
        <f t="shared" si="25"/>
        <v>47299</v>
      </c>
      <c r="AR66" s="540">
        <f t="shared" si="25"/>
        <v>47391</v>
      </c>
      <c r="AS66" s="540">
        <f t="shared" si="25"/>
        <v>47483</v>
      </c>
      <c r="AT66" s="540">
        <f t="shared" si="25"/>
        <v>47573</v>
      </c>
      <c r="AU66" s="540">
        <f t="shared" si="25"/>
        <v>47664</v>
      </c>
      <c r="AV66" s="540">
        <f t="shared" si="25"/>
        <v>47756</v>
      </c>
      <c r="AW66" s="540">
        <f t="shared" si="25"/>
        <v>47848</v>
      </c>
      <c r="AX66" s="540">
        <f t="shared" si="25"/>
        <v>47938</v>
      </c>
      <c r="AY66" s="540">
        <f t="shared" si="25"/>
        <v>48029</v>
      </c>
      <c r="AZ66" s="540">
        <f t="shared" si="25"/>
        <v>48121</v>
      </c>
      <c r="BA66" s="540">
        <f t="shared" si="25"/>
        <v>48213</v>
      </c>
      <c r="BB66" s="540">
        <f t="shared" si="25"/>
        <v>48304</v>
      </c>
      <c r="BC66" s="540">
        <f t="shared" si="25"/>
        <v>48395</v>
      </c>
      <c r="BD66" s="540">
        <f t="shared" si="25"/>
        <v>48487</v>
      </c>
      <c r="BE66" s="540">
        <f t="shared" si="25"/>
        <v>48579</v>
      </c>
      <c r="BF66" s="540">
        <f t="shared" si="25"/>
        <v>48669</v>
      </c>
      <c r="BG66" s="540">
        <f t="shared" si="25"/>
        <v>48760</v>
      </c>
      <c r="BH66" s="540">
        <f t="shared" si="25"/>
        <v>48852</v>
      </c>
      <c r="BI66" s="540">
        <f t="shared" si="25"/>
        <v>48944</v>
      </c>
      <c r="BJ66" s="540">
        <f t="shared" si="25"/>
        <v>49034</v>
      </c>
      <c r="BK66" s="540">
        <f t="shared" si="25"/>
        <v>49125</v>
      </c>
      <c r="BL66" s="540">
        <f t="shared" si="25"/>
        <v>49217</v>
      </c>
      <c r="BM66" s="540">
        <f t="shared" si="25"/>
        <v>49309</v>
      </c>
      <c r="BN66" s="540">
        <f t="shared" si="25"/>
        <v>49399</v>
      </c>
      <c r="BO66" s="540">
        <f t="shared" si="25"/>
        <v>49490</v>
      </c>
      <c r="BP66" s="540">
        <f t="shared" si="25"/>
        <v>49582</v>
      </c>
      <c r="BQ66" s="540">
        <f t="shared" si="25"/>
        <v>49674</v>
      </c>
      <c r="BR66" s="540">
        <f t="shared" si="25"/>
        <v>49765</v>
      </c>
      <c r="BS66" s="540">
        <f t="shared" si="25"/>
        <v>49856</v>
      </c>
      <c r="BT66" s="540">
        <f t="shared" si="25"/>
        <v>49948</v>
      </c>
      <c r="BU66" s="540">
        <f t="shared" si="25"/>
        <v>50040</v>
      </c>
      <c r="BV66" s="540">
        <f t="shared" si="25"/>
        <v>50130</v>
      </c>
      <c r="BW66" s="540">
        <f t="shared" si="25"/>
        <v>50221</v>
      </c>
      <c r="BX66" s="540">
        <f t="shared" si="25"/>
        <v>50313</v>
      </c>
      <c r="BY66" s="540">
        <f t="shared" si="25"/>
        <v>50405</v>
      </c>
      <c r="BZ66" s="540">
        <f t="shared" si="25"/>
        <v>50495</v>
      </c>
      <c r="CA66" s="540">
        <f t="shared" si="25"/>
        <v>50586</v>
      </c>
      <c r="CB66" s="540">
        <f t="shared" si="25"/>
        <v>50678</v>
      </c>
      <c r="CC66" s="540">
        <f t="shared" si="25"/>
        <v>50770</v>
      </c>
      <c r="CD66" s="540">
        <f t="shared" si="25"/>
        <v>50860</v>
      </c>
      <c r="CE66" s="540">
        <f t="shared" si="25"/>
        <v>50951</v>
      </c>
      <c r="CF66" s="540">
        <f t="shared" si="25"/>
        <v>51043</v>
      </c>
      <c r="CG66" s="540">
        <f t="shared" si="25"/>
        <v>51135</v>
      </c>
      <c r="CH66" s="540">
        <f t="shared" si="25"/>
        <v>51226</v>
      </c>
      <c r="CI66" s="540">
        <f t="shared" si="25"/>
        <v>51317</v>
      </c>
      <c r="CJ66" s="540">
        <f t="shared" si="25"/>
        <v>51409</v>
      </c>
      <c r="CK66" s="540">
        <f t="shared" si="25"/>
        <v>51501</v>
      </c>
      <c r="CL66" s="540">
        <f t="shared" si="25"/>
        <v>51591</v>
      </c>
      <c r="CM66" s="540">
        <f t="shared" si="25"/>
        <v>51682</v>
      </c>
      <c r="CN66" s="540">
        <f t="shared" si="25"/>
        <v>51774</v>
      </c>
      <c r="CO66" s="540">
        <f t="shared" si="25"/>
        <v>51866</v>
      </c>
      <c r="CP66" s="540">
        <f t="shared" si="25"/>
        <v>51956</v>
      </c>
      <c r="CQ66" s="540">
        <f t="shared" si="25"/>
        <v>52047</v>
      </c>
      <c r="CR66" s="540">
        <f t="shared" si="25"/>
        <v>52139</v>
      </c>
      <c r="CS66" s="540">
        <f t="shared" si="25"/>
        <v>52231</v>
      </c>
      <c r="CT66" s="540">
        <f t="shared" si="25"/>
        <v>52321</v>
      </c>
      <c r="CU66" s="540">
        <f t="shared" si="25"/>
        <v>52412</v>
      </c>
      <c r="CV66" s="540">
        <f t="shared" si="25"/>
        <v>52504</v>
      </c>
      <c r="CW66" s="540">
        <f t="shared" si="25"/>
        <v>52596</v>
      </c>
      <c r="CX66" s="540">
        <f t="shared" si="25"/>
        <v>52687</v>
      </c>
      <c r="CY66" s="540">
        <f t="shared" si="25"/>
        <v>52778</v>
      </c>
      <c r="CZ66" s="540">
        <f t="shared" si="25"/>
        <v>52870</v>
      </c>
      <c r="DA66" s="540">
        <f t="shared" si="25"/>
        <v>52962</v>
      </c>
      <c r="DB66" s="540">
        <f t="shared" si="25"/>
        <v>53052</v>
      </c>
      <c r="DC66" s="540">
        <f t="shared" si="25"/>
        <v>53143</v>
      </c>
      <c r="DD66" s="540">
        <f t="shared" si="25"/>
        <v>53235</v>
      </c>
      <c r="DE66" s="540">
        <f t="shared" si="25"/>
        <v>53327</v>
      </c>
      <c r="DF66" s="540">
        <f t="shared" si="25"/>
        <v>53417</v>
      </c>
      <c r="DG66" s="540">
        <f t="shared" si="25"/>
        <v>53508</v>
      </c>
      <c r="DH66" s="540">
        <f t="shared" si="25"/>
        <v>53600</v>
      </c>
      <c r="DI66" s="540">
        <f t="shared" si="25"/>
        <v>53692</v>
      </c>
      <c r="DJ66" s="540">
        <f t="shared" si="25"/>
        <v>53782</v>
      </c>
      <c r="DK66" s="540">
        <f t="shared" si="25"/>
        <v>53873</v>
      </c>
      <c r="DL66" s="540">
        <f t="shared" si="25"/>
        <v>53965</v>
      </c>
      <c r="DM66" s="540">
        <f t="shared" si="25"/>
        <v>54057</v>
      </c>
      <c r="DN66" s="540">
        <f t="shared" si="25"/>
        <v>54148</v>
      </c>
      <c r="DO66" s="540">
        <f t="shared" si="25"/>
        <v>54239</v>
      </c>
      <c r="DP66" s="540">
        <f t="shared" si="25"/>
        <v>54331</v>
      </c>
      <c r="DQ66" s="540">
        <f t="shared" si="25"/>
        <v>54423</v>
      </c>
      <c r="DR66" s="540">
        <f t="shared" si="25"/>
        <v>54513</v>
      </c>
      <c r="DS66" s="540">
        <f t="shared" si="25"/>
        <v>54604</v>
      </c>
      <c r="DT66" s="540">
        <f t="shared" si="25"/>
        <v>54696</v>
      </c>
      <c r="DU66" s="540">
        <f t="shared" si="25"/>
        <v>54788</v>
      </c>
      <c r="DV66" s="540">
        <f t="shared" si="25"/>
        <v>54878</v>
      </c>
      <c r="DW66" s="540">
        <f t="shared" si="25"/>
        <v>54969</v>
      </c>
      <c r="DX66" s="540">
        <f t="shared" si="25"/>
        <v>55061</v>
      </c>
      <c r="DY66" s="540">
        <f t="shared" si="25"/>
        <v>55153</v>
      </c>
      <c r="DZ66" s="540">
        <f t="shared" si="25"/>
        <v>55243</v>
      </c>
      <c r="EA66" s="540">
        <f t="shared" si="25"/>
        <v>55334</v>
      </c>
      <c r="EB66" s="540">
        <f t="shared" si="25"/>
        <v>55426</v>
      </c>
      <c r="EC66" s="540">
        <f t="shared" si="25"/>
        <v>55518</v>
      </c>
      <c r="ED66" s="540">
        <f t="shared" si="25"/>
        <v>55609</v>
      </c>
      <c r="EE66" s="540">
        <f t="shared" si="25"/>
        <v>55700</v>
      </c>
      <c r="EF66" s="540">
        <f t="shared" si="25"/>
        <v>55792</v>
      </c>
      <c r="EG66" s="540">
        <f t="shared" si="25"/>
        <v>55884</v>
      </c>
      <c r="EH66" s="540">
        <f t="shared" si="25"/>
        <v>55974</v>
      </c>
      <c r="EI66" s="540">
        <f t="shared" si="25"/>
        <v>56065</v>
      </c>
      <c r="EJ66" s="540">
        <f t="shared" si="25"/>
        <v>56157</v>
      </c>
      <c r="EK66" s="540">
        <f t="shared" si="25"/>
        <v>56249</v>
      </c>
      <c r="EL66" s="540">
        <f t="shared" si="25"/>
        <v>56339</v>
      </c>
      <c r="EM66" s="540">
        <f t="shared" si="25"/>
        <v>56430</v>
      </c>
      <c r="EN66" s="540">
        <f t="shared" si="25"/>
        <v>56522</v>
      </c>
      <c r="EO66" s="540">
        <f t="shared" si="25"/>
        <v>56614</v>
      </c>
      <c r="EP66" s="540">
        <f t="shared" si="25"/>
        <v>56704</v>
      </c>
      <c r="EQ66" s="540">
        <f t="shared" si="25"/>
        <v>56795</v>
      </c>
      <c r="ER66" s="540">
        <f t="shared" si="25"/>
        <v>56887</v>
      </c>
      <c r="ES66" s="540">
        <f t="shared" si="25"/>
        <v>56979</v>
      </c>
      <c r="ET66" s="540">
        <f t="shared" si="25"/>
        <v>57070</v>
      </c>
      <c r="EU66" s="540">
        <f t="shared" si="25"/>
        <v>57161</v>
      </c>
      <c r="EV66" s="540">
        <f t="shared" si="25"/>
        <v>57253</v>
      </c>
      <c r="EW66" s="540">
        <f t="shared" si="25"/>
        <v>57345</v>
      </c>
      <c r="EX66" s="540">
        <f t="shared" si="25"/>
        <v>57435</v>
      </c>
      <c r="EY66" s="540">
        <f t="shared" si="25"/>
        <v>57526</v>
      </c>
      <c r="EZ66" s="540">
        <f t="shared" si="25"/>
        <v>57618</v>
      </c>
      <c r="FA66" s="540">
        <f t="shared" si="25"/>
        <v>57710</v>
      </c>
      <c r="FB66" s="540">
        <f t="shared" si="25"/>
        <v>57800</v>
      </c>
      <c r="FC66" s="540">
        <f t="shared" si="25"/>
        <v>57891</v>
      </c>
      <c r="FD66" s="540">
        <f t="shared" si="25"/>
        <v>57983</v>
      </c>
      <c r="FE66" s="540">
        <f t="shared" si="25"/>
        <v>58075</v>
      </c>
      <c r="FF66" s="540">
        <f t="shared" si="25"/>
        <v>58165</v>
      </c>
      <c r="FG66" s="540">
        <f t="shared" si="25"/>
        <v>58256</v>
      </c>
      <c r="FH66" s="540">
        <f t="shared" si="25"/>
        <v>58348</v>
      </c>
      <c r="FI66" s="540">
        <f t="shared" si="25"/>
        <v>58440</v>
      </c>
      <c r="FJ66" s="540">
        <f t="shared" si="25"/>
        <v>58531</v>
      </c>
      <c r="FK66" s="540">
        <f t="shared" si="25"/>
        <v>58622</v>
      </c>
      <c r="FL66" s="540">
        <f t="shared" si="25"/>
        <v>58714</v>
      </c>
      <c r="FM66" s="540">
        <f t="shared" si="25"/>
        <v>58806</v>
      </c>
      <c r="FN66" s="540">
        <f t="shared" si="25"/>
        <v>58896</v>
      </c>
      <c r="FO66" s="540">
        <f t="shared" si="25"/>
        <v>58987</v>
      </c>
      <c r="FP66" s="540">
        <f t="shared" si="25"/>
        <v>59079</v>
      </c>
      <c r="FQ66" s="540">
        <f t="shared" si="25"/>
        <v>59171</v>
      </c>
      <c r="FR66" s="540">
        <f t="shared" si="25"/>
        <v>59261</v>
      </c>
      <c r="FS66" s="540">
        <f t="shared" si="25"/>
        <v>59352</v>
      </c>
      <c r="FT66" s="540">
        <f t="shared" si="25"/>
        <v>59444</v>
      </c>
      <c r="FU66" s="540">
        <f t="shared" si="25"/>
        <v>59536</v>
      </c>
      <c r="FV66" s="540">
        <f t="shared" si="25"/>
        <v>59626</v>
      </c>
      <c r="FW66" s="540">
        <f t="shared" si="25"/>
        <v>59717</v>
      </c>
      <c r="FX66" s="540">
        <f t="shared" si="25"/>
        <v>59809</v>
      </c>
      <c r="FY66" s="540">
        <f t="shared" si="25"/>
        <v>59901</v>
      </c>
      <c r="FZ66" s="540">
        <f t="shared" si="25"/>
        <v>59992</v>
      </c>
      <c r="GA66" s="540">
        <f t="shared" si="25"/>
        <v>60083</v>
      </c>
      <c r="GB66" s="540">
        <f t="shared" si="25"/>
        <v>60175</v>
      </c>
      <c r="GC66" s="540">
        <f t="shared" si="25"/>
        <v>60267</v>
      </c>
      <c r="GD66" s="540">
        <f t="shared" si="25"/>
        <v>60357</v>
      </c>
      <c r="GE66" s="540">
        <f t="shared" si="25"/>
        <v>60448</v>
      </c>
      <c r="GF66" s="540">
        <f t="shared" si="25"/>
        <v>60540</v>
      </c>
      <c r="GG66" s="540">
        <f t="shared" si="25"/>
        <v>60632</v>
      </c>
      <c r="GH66" s="540">
        <f t="shared" si="25"/>
        <v>60722</v>
      </c>
      <c r="GI66" s="540">
        <f t="shared" si="25"/>
        <v>60813</v>
      </c>
      <c r="GJ66" s="540">
        <f t="shared" si="25"/>
        <v>60905</v>
      </c>
    </row>
    <row r="67" spans="5:192" ht="12.75">
      <c r="E67" s="535" t="s">
        <v>62</v>
      </c>
      <c r="G67" s="537" t="s">
        <v>50</v>
      </c>
      <c r="H67" s="537">
        <f>SUM(J67:GJ67)</f>
        <v>1</v>
      </c>
      <c r="J67" s="537">
        <f t="shared" si="26" ref="J67:GJ67">IF(AND(I66&lt;$F65,J66&gt;=$F65),1,0)</f>
        <v>0</v>
      </c>
      <c r="K67" s="537">
        <f t="shared" si="26"/>
        <v>0</v>
      </c>
      <c r="L67" s="537">
        <f t="shared" si="26"/>
        <v>0</v>
      </c>
      <c r="M67" s="537">
        <f t="shared" si="26"/>
        <v>0</v>
      </c>
      <c r="N67" s="537">
        <f t="shared" si="26"/>
        <v>0</v>
      </c>
      <c r="O67" s="537">
        <f t="shared" si="26"/>
        <v>0</v>
      </c>
      <c r="P67" s="537">
        <f t="shared" si="26"/>
        <v>0</v>
      </c>
      <c r="Q67" s="537">
        <f t="shared" si="26"/>
        <v>0</v>
      </c>
      <c r="R67" s="537">
        <f t="shared" si="26"/>
        <v>0</v>
      </c>
      <c r="S67" s="537">
        <f t="shared" si="26"/>
        <v>0</v>
      </c>
      <c r="T67" s="537">
        <f t="shared" si="26"/>
        <v>0</v>
      </c>
      <c r="U67" s="537">
        <f t="shared" si="26"/>
        <v>0</v>
      </c>
      <c r="V67" s="537">
        <f t="shared" si="26"/>
        <v>0</v>
      </c>
      <c r="W67" s="537">
        <f t="shared" si="26"/>
        <v>0</v>
      </c>
      <c r="X67" s="537">
        <f t="shared" si="26"/>
        <v>0</v>
      </c>
      <c r="Y67" s="537">
        <f t="shared" si="26"/>
        <v>0</v>
      </c>
      <c r="Z67" s="537">
        <f t="shared" si="26"/>
        <v>0</v>
      </c>
      <c r="AA67" s="537">
        <f t="shared" si="26"/>
        <v>0</v>
      </c>
      <c r="AB67" s="537">
        <f t="shared" si="26"/>
        <v>0</v>
      </c>
      <c r="AC67" s="537">
        <f t="shared" si="26"/>
        <v>0</v>
      </c>
      <c r="AD67" s="537">
        <f t="shared" si="26"/>
        <v>0</v>
      </c>
      <c r="AE67" s="537">
        <f t="shared" si="26"/>
        <v>0</v>
      </c>
      <c r="AF67" s="537">
        <f t="shared" si="26"/>
        <v>0</v>
      </c>
      <c r="AG67" s="537">
        <f t="shared" si="26"/>
        <v>0</v>
      </c>
      <c r="AH67" s="537">
        <f t="shared" si="26"/>
        <v>0</v>
      </c>
      <c r="AI67" s="537">
        <f t="shared" si="26"/>
        <v>0</v>
      </c>
      <c r="AJ67" s="537">
        <f t="shared" si="26"/>
        <v>0</v>
      </c>
      <c r="AK67" s="537">
        <f t="shared" si="26"/>
        <v>0</v>
      </c>
      <c r="AL67" s="537">
        <f t="shared" si="26"/>
        <v>0</v>
      </c>
      <c r="AM67" s="537">
        <f t="shared" si="26"/>
        <v>1</v>
      </c>
      <c r="AN67" s="537">
        <f t="shared" si="26"/>
        <v>0</v>
      </c>
      <c r="AO67" s="537">
        <f t="shared" si="26"/>
        <v>0</v>
      </c>
      <c r="AP67" s="537">
        <f t="shared" si="26"/>
        <v>0</v>
      </c>
      <c r="AQ67" s="537">
        <f t="shared" si="26"/>
        <v>0</v>
      </c>
      <c r="AR67" s="537">
        <f t="shared" si="26"/>
        <v>0</v>
      </c>
      <c r="AS67" s="537">
        <f t="shared" si="26"/>
        <v>0</v>
      </c>
      <c r="AT67" s="537">
        <f t="shared" si="26"/>
        <v>0</v>
      </c>
      <c r="AU67" s="537">
        <f t="shared" si="26"/>
        <v>0</v>
      </c>
      <c r="AV67" s="537">
        <f t="shared" si="26"/>
        <v>0</v>
      </c>
      <c r="AW67" s="537">
        <f t="shared" si="26"/>
        <v>0</v>
      </c>
      <c r="AX67" s="537">
        <f t="shared" si="26"/>
        <v>0</v>
      </c>
      <c r="AY67" s="537">
        <f t="shared" si="26"/>
        <v>0</v>
      </c>
      <c r="AZ67" s="537">
        <f t="shared" si="26"/>
        <v>0</v>
      </c>
      <c r="BA67" s="537">
        <f t="shared" si="26"/>
        <v>0</v>
      </c>
      <c r="BB67" s="537">
        <f t="shared" si="26"/>
        <v>0</v>
      </c>
      <c r="BC67" s="537">
        <f t="shared" si="26"/>
        <v>0</v>
      </c>
      <c r="BD67" s="537">
        <f t="shared" si="26"/>
        <v>0</v>
      </c>
      <c r="BE67" s="537">
        <f t="shared" si="26"/>
        <v>0</v>
      </c>
      <c r="BF67" s="537">
        <f t="shared" si="26"/>
        <v>0</v>
      </c>
      <c r="BG67" s="537">
        <f t="shared" si="26"/>
        <v>0</v>
      </c>
      <c r="BH67" s="537">
        <f t="shared" si="26"/>
        <v>0</v>
      </c>
      <c r="BI67" s="537">
        <f t="shared" si="26"/>
        <v>0</v>
      </c>
      <c r="BJ67" s="537">
        <f t="shared" si="26"/>
        <v>0</v>
      </c>
      <c r="BK67" s="537">
        <f t="shared" si="26"/>
        <v>0</v>
      </c>
      <c r="BL67" s="537">
        <f t="shared" si="26"/>
        <v>0</v>
      </c>
      <c r="BM67" s="537">
        <f t="shared" si="26"/>
        <v>0</v>
      </c>
      <c r="BN67" s="537">
        <f t="shared" si="26"/>
        <v>0</v>
      </c>
      <c r="BO67" s="537">
        <f t="shared" si="26"/>
        <v>0</v>
      </c>
      <c r="BP67" s="537">
        <f t="shared" si="26"/>
        <v>0</v>
      </c>
      <c r="BQ67" s="537">
        <f t="shared" si="26"/>
        <v>0</v>
      </c>
      <c r="BR67" s="537">
        <f t="shared" si="26"/>
        <v>0</v>
      </c>
      <c r="BS67" s="537">
        <f t="shared" si="26"/>
        <v>0</v>
      </c>
      <c r="BT67" s="537">
        <f t="shared" si="26"/>
        <v>0</v>
      </c>
      <c r="BU67" s="537">
        <f t="shared" si="26"/>
        <v>0</v>
      </c>
      <c r="BV67" s="537">
        <f t="shared" si="26"/>
        <v>0</v>
      </c>
      <c r="BW67" s="537">
        <f t="shared" si="26"/>
        <v>0</v>
      </c>
      <c r="BX67" s="537">
        <f t="shared" si="26"/>
        <v>0</v>
      </c>
      <c r="BY67" s="537">
        <f t="shared" si="26"/>
        <v>0</v>
      </c>
      <c r="BZ67" s="537">
        <f t="shared" si="26"/>
        <v>0</v>
      </c>
      <c r="CA67" s="537">
        <f t="shared" si="26"/>
        <v>0</v>
      </c>
      <c r="CB67" s="537">
        <f t="shared" si="26"/>
        <v>0</v>
      </c>
      <c r="CC67" s="537">
        <f t="shared" si="26"/>
        <v>0</v>
      </c>
      <c r="CD67" s="537">
        <f t="shared" si="26"/>
        <v>0</v>
      </c>
      <c r="CE67" s="537">
        <f t="shared" si="26"/>
        <v>0</v>
      </c>
      <c r="CF67" s="537">
        <f t="shared" si="26"/>
        <v>0</v>
      </c>
      <c r="CG67" s="537">
        <f t="shared" si="26"/>
        <v>0</v>
      </c>
      <c r="CH67" s="537">
        <f t="shared" si="26"/>
        <v>0</v>
      </c>
      <c r="CI67" s="537">
        <f t="shared" si="26"/>
        <v>0</v>
      </c>
      <c r="CJ67" s="537">
        <f t="shared" si="26"/>
        <v>0</v>
      </c>
      <c r="CK67" s="537">
        <f t="shared" si="26"/>
        <v>0</v>
      </c>
      <c r="CL67" s="537">
        <f t="shared" si="26"/>
        <v>0</v>
      </c>
      <c r="CM67" s="537">
        <f t="shared" si="26"/>
        <v>0</v>
      </c>
      <c r="CN67" s="537">
        <f t="shared" si="26"/>
        <v>0</v>
      </c>
      <c r="CO67" s="537">
        <f t="shared" si="26"/>
        <v>0</v>
      </c>
      <c r="CP67" s="537">
        <f t="shared" si="26"/>
        <v>0</v>
      </c>
      <c r="CQ67" s="537">
        <f t="shared" si="26"/>
        <v>0</v>
      </c>
      <c r="CR67" s="537">
        <f t="shared" si="26"/>
        <v>0</v>
      </c>
      <c r="CS67" s="537">
        <f t="shared" si="26"/>
        <v>0</v>
      </c>
      <c r="CT67" s="537">
        <f t="shared" si="26"/>
        <v>0</v>
      </c>
      <c r="CU67" s="537">
        <f t="shared" si="26"/>
        <v>0</v>
      </c>
      <c r="CV67" s="537">
        <f t="shared" si="26"/>
        <v>0</v>
      </c>
      <c r="CW67" s="537">
        <f t="shared" si="26"/>
        <v>0</v>
      </c>
      <c r="CX67" s="537">
        <f t="shared" si="26"/>
        <v>0</v>
      </c>
      <c r="CY67" s="537">
        <f t="shared" si="26"/>
        <v>0</v>
      </c>
      <c r="CZ67" s="537">
        <f t="shared" si="26"/>
        <v>0</v>
      </c>
      <c r="DA67" s="537">
        <f t="shared" si="26"/>
        <v>0</v>
      </c>
      <c r="DB67" s="537">
        <f t="shared" si="26"/>
        <v>0</v>
      </c>
      <c r="DC67" s="537">
        <f t="shared" si="26"/>
        <v>0</v>
      </c>
      <c r="DD67" s="537">
        <f t="shared" si="26"/>
        <v>0</v>
      </c>
      <c r="DE67" s="537">
        <f t="shared" si="26"/>
        <v>0</v>
      </c>
      <c r="DF67" s="537">
        <f t="shared" si="26"/>
        <v>0</v>
      </c>
      <c r="DG67" s="537">
        <f t="shared" si="26"/>
        <v>0</v>
      </c>
      <c r="DH67" s="537">
        <f t="shared" si="26"/>
        <v>0</v>
      </c>
      <c r="DI67" s="537">
        <f t="shared" si="26"/>
        <v>0</v>
      </c>
      <c r="DJ67" s="537">
        <f t="shared" si="26"/>
        <v>0</v>
      </c>
      <c r="DK67" s="537">
        <f t="shared" si="26"/>
        <v>0</v>
      </c>
      <c r="DL67" s="537">
        <f t="shared" si="26"/>
        <v>0</v>
      </c>
      <c r="DM67" s="537">
        <f t="shared" si="26"/>
        <v>0</v>
      </c>
      <c r="DN67" s="537">
        <f t="shared" si="26"/>
        <v>0</v>
      </c>
      <c r="DO67" s="537">
        <f t="shared" si="26"/>
        <v>0</v>
      </c>
      <c r="DP67" s="537">
        <f t="shared" si="26"/>
        <v>0</v>
      </c>
      <c r="DQ67" s="537">
        <f t="shared" si="26"/>
        <v>0</v>
      </c>
      <c r="DR67" s="537">
        <f t="shared" si="26"/>
        <v>0</v>
      </c>
      <c r="DS67" s="537">
        <f t="shared" si="26"/>
        <v>0</v>
      </c>
      <c r="DT67" s="537">
        <f t="shared" si="26"/>
        <v>0</v>
      </c>
      <c r="DU67" s="537">
        <f t="shared" si="26"/>
        <v>0</v>
      </c>
      <c r="DV67" s="537">
        <f t="shared" si="26"/>
        <v>0</v>
      </c>
      <c r="DW67" s="537">
        <f t="shared" si="26"/>
        <v>0</v>
      </c>
      <c r="DX67" s="537">
        <f t="shared" si="26"/>
        <v>0</v>
      </c>
      <c r="DY67" s="537">
        <f t="shared" si="26"/>
        <v>0</v>
      </c>
      <c r="DZ67" s="537">
        <f t="shared" si="26"/>
        <v>0</v>
      </c>
      <c r="EA67" s="537">
        <f t="shared" si="26"/>
        <v>0</v>
      </c>
      <c r="EB67" s="537">
        <f t="shared" si="26"/>
        <v>0</v>
      </c>
      <c r="EC67" s="537">
        <f t="shared" si="26"/>
        <v>0</v>
      </c>
      <c r="ED67" s="537">
        <f t="shared" si="26"/>
        <v>0</v>
      </c>
      <c r="EE67" s="537">
        <f t="shared" si="26"/>
        <v>0</v>
      </c>
      <c r="EF67" s="537">
        <f t="shared" si="26"/>
        <v>0</v>
      </c>
      <c r="EG67" s="537">
        <f t="shared" si="26"/>
        <v>0</v>
      </c>
      <c r="EH67" s="537">
        <f t="shared" si="26"/>
        <v>0</v>
      </c>
      <c r="EI67" s="537">
        <f t="shared" si="26"/>
        <v>0</v>
      </c>
      <c r="EJ67" s="537">
        <f t="shared" si="26"/>
        <v>0</v>
      </c>
      <c r="EK67" s="537">
        <f t="shared" si="26"/>
        <v>0</v>
      </c>
      <c r="EL67" s="537">
        <f t="shared" si="26"/>
        <v>0</v>
      </c>
      <c r="EM67" s="537">
        <f t="shared" si="26"/>
        <v>0</v>
      </c>
      <c r="EN67" s="537">
        <f t="shared" si="26"/>
        <v>0</v>
      </c>
      <c r="EO67" s="537">
        <f t="shared" si="26"/>
        <v>0</v>
      </c>
      <c r="EP67" s="537">
        <f t="shared" si="26"/>
        <v>0</v>
      </c>
      <c r="EQ67" s="537">
        <f t="shared" si="26"/>
        <v>0</v>
      </c>
      <c r="ER67" s="537">
        <f t="shared" si="26"/>
        <v>0</v>
      </c>
      <c r="ES67" s="537">
        <f t="shared" si="26"/>
        <v>0</v>
      </c>
      <c r="ET67" s="537">
        <f t="shared" si="26"/>
        <v>0</v>
      </c>
      <c r="EU67" s="537">
        <f t="shared" si="26"/>
        <v>0</v>
      </c>
      <c r="EV67" s="537">
        <f t="shared" si="26"/>
        <v>0</v>
      </c>
      <c r="EW67" s="537">
        <f t="shared" si="26"/>
        <v>0</v>
      </c>
      <c r="EX67" s="537">
        <f t="shared" si="26"/>
        <v>0</v>
      </c>
      <c r="EY67" s="537">
        <f t="shared" si="26"/>
        <v>0</v>
      </c>
      <c r="EZ67" s="537">
        <f t="shared" si="26"/>
        <v>0</v>
      </c>
      <c r="FA67" s="537">
        <f t="shared" si="26"/>
        <v>0</v>
      </c>
      <c r="FB67" s="537">
        <f t="shared" si="26"/>
        <v>0</v>
      </c>
      <c r="FC67" s="537">
        <f t="shared" si="26"/>
        <v>0</v>
      </c>
      <c r="FD67" s="537">
        <f t="shared" si="26"/>
        <v>0</v>
      </c>
      <c r="FE67" s="537">
        <f t="shared" si="26"/>
        <v>0</v>
      </c>
      <c r="FF67" s="537">
        <f t="shared" si="26"/>
        <v>0</v>
      </c>
      <c r="FG67" s="537">
        <f t="shared" si="26"/>
        <v>0</v>
      </c>
      <c r="FH67" s="537">
        <f t="shared" si="26"/>
        <v>0</v>
      </c>
      <c r="FI67" s="537">
        <f t="shared" si="26"/>
        <v>0</v>
      </c>
      <c r="FJ67" s="537">
        <f t="shared" si="26"/>
        <v>0</v>
      </c>
      <c r="FK67" s="537">
        <f t="shared" si="26"/>
        <v>0</v>
      </c>
      <c r="FL67" s="537">
        <f t="shared" si="26"/>
        <v>0</v>
      </c>
      <c r="FM67" s="537">
        <f t="shared" si="26"/>
        <v>0</v>
      </c>
      <c r="FN67" s="537">
        <f t="shared" si="26"/>
        <v>0</v>
      </c>
      <c r="FO67" s="537">
        <f t="shared" si="26"/>
        <v>0</v>
      </c>
      <c r="FP67" s="537">
        <f t="shared" si="26"/>
        <v>0</v>
      </c>
      <c r="FQ67" s="537">
        <f t="shared" si="26"/>
        <v>0</v>
      </c>
      <c r="FR67" s="537">
        <f t="shared" si="26"/>
        <v>0</v>
      </c>
      <c r="FS67" s="537">
        <f t="shared" si="26"/>
        <v>0</v>
      </c>
      <c r="FT67" s="537">
        <f t="shared" si="26"/>
        <v>0</v>
      </c>
      <c r="FU67" s="537">
        <f t="shared" si="26"/>
        <v>0</v>
      </c>
      <c r="FV67" s="537">
        <f t="shared" si="26"/>
        <v>0</v>
      </c>
      <c r="FW67" s="537">
        <f t="shared" si="26"/>
        <v>0</v>
      </c>
      <c r="FX67" s="537">
        <f t="shared" si="26"/>
        <v>0</v>
      </c>
      <c r="FY67" s="537">
        <f t="shared" si="26"/>
        <v>0</v>
      </c>
      <c r="FZ67" s="537">
        <f t="shared" si="26"/>
        <v>0</v>
      </c>
      <c r="GA67" s="537">
        <f t="shared" si="26"/>
        <v>0</v>
      </c>
      <c r="GB67" s="537">
        <f t="shared" si="26"/>
        <v>0</v>
      </c>
      <c r="GC67" s="537">
        <f t="shared" si="26"/>
        <v>0</v>
      </c>
      <c r="GD67" s="537">
        <f t="shared" si="26"/>
        <v>0</v>
      </c>
      <c r="GE67" s="537">
        <f t="shared" si="26"/>
        <v>0</v>
      </c>
      <c r="GF67" s="537">
        <f t="shared" si="26"/>
        <v>0</v>
      </c>
      <c r="GG67" s="537">
        <f t="shared" si="26"/>
        <v>0</v>
      </c>
      <c r="GH67" s="537">
        <f t="shared" si="26"/>
        <v>0</v>
      </c>
      <c r="GI67" s="537">
        <f t="shared" si="26"/>
        <v>0</v>
      </c>
      <c r="GJ67" s="537">
        <f t="shared" si="26"/>
        <v>0</v>
      </c>
    </row>
    <row r="69" spans="2:2" ht="12.75">
      <c r="B69" s="534" t="s">
        <v>63</v>
      </c>
    </row>
    <row r="70" spans="5:192" ht="12.75">
      <c r="E70" s="535" t="str">
        <f>E$62</f>
        <v>First construction period flag</v>
      </c>
      <c r="G70" s="537" t="str">
        <f>G$62</f>
        <v>flag</v>
      </c>
      <c r="H70" s="537">
        <f>H$62</f>
        <v>1</v>
      </c>
      <c r="J70" s="537">
        <f t="shared" si="27" ref="J70:GJ70">J$62</f>
        <v>0</v>
      </c>
      <c r="K70" s="537">
        <f t="shared" si="27"/>
        <v>0</v>
      </c>
      <c r="L70" s="537">
        <f t="shared" si="27"/>
        <v>0</v>
      </c>
      <c r="M70" s="537">
        <f t="shared" si="27"/>
        <v>0</v>
      </c>
      <c r="N70" s="537">
        <f t="shared" si="27"/>
        <v>0</v>
      </c>
      <c r="O70" s="537">
        <f t="shared" si="27"/>
        <v>0</v>
      </c>
      <c r="P70" s="537">
        <f t="shared" si="27"/>
        <v>1</v>
      </c>
      <c r="Q70" s="537">
        <f t="shared" si="27"/>
        <v>0</v>
      </c>
      <c r="R70" s="537">
        <f t="shared" si="27"/>
        <v>0</v>
      </c>
      <c r="S70" s="537">
        <f t="shared" si="27"/>
        <v>0</v>
      </c>
      <c r="T70" s="537">
        <f t="shared" si="27"/>
        <v>0</v>
      </c>
      <c r="U70" s="537">
        <f t="shared" si="27"/>
        <v>0</v>
      </c>
      <c r="V70" s="537">
        <f t="shared" si="27"/>
        <v>0</v>
      </c>
      <c r="W70" s="537">
        <f t="shared" si="27"/>
        <v>0</v>
      </c>
      <c r="X70" s="537">
        <f t="shared" si="27"/>
        <v>0</v>
      </c>
      <c r="Y70" s="537">
        <f t="shared" si="27"/>
        <v>0</v>
      </c>
      <c r="Z70" s="537">
        <f t="shared" si="27"/>
        <v>0</v>
      </c>
      <c r="AA70" s="537">
        <f t="shared" si="27"/>
        <v>0</v>
      </c>
      <c r="AB70" s="537">
        <f t="shared" si="27"/>
        <v>0</v>
      </c>
      <c r="AC70" s="537">
        <f t="shared" si="27"/>
        <v>0</v>
      </c>
      <c r="AD70" s="537">
        <f t="shared" si="27"/>
        <v>0</v>
      </c>
      <c r="AE70" s="537">
        <f t="shared" si="27"/>
        <v>0</v>
      </c>
      <c r="AF70" s="537">
        <f t="shared" si="27"/>
        <v>0</v>
      </c>
      <c r="AG70" s="537">
        <f t="shared" si="27"/>
        <v>0</v>
      </c>
      <c r="AH70" s="537">
        <f t="shared" si="27"/>
        <v>0</v>
      </c>
      <c r="AI70" s="537">
        <f t="shared" si="27"/>
        <v>0</v>
      </c>
      <c r="AJ70" s="537">
        <f t="shared" si="27"/>
        <v>0</v>
      </c>
      <c r="AK70" s="537">
        <f t="shared" si="27"/>
        <v>0</v>
      </c>
      <c r="AL70" s="537">
        <f t="shared" si="27"/>
        <v>0</v>
      </c>
      <c r="AM70" s="537">
        <f t="shared" si="27"/>
        <v>0</v>
      </c>
      <c r="AN70" s="537">
        <f t="shared" si="27"/>
        <v>0</v>
      </c>
      <c r="AO70" s="537">
        <f t="shared" si="27"/>
        <v>0</v>
      </c>
      <c r="AP70" s="537">
        <f t="shared" si="27"/>
        <v>0</v>
      </c>
      <c r="AQ70" s="537">
        <f t="shared" si="27"/>
        <v>0</v>
      </c>
      <c r="AR70" s="537">
        <f t="shared" si="27"/>
        <v>0</v>
      </c>
      <c r="AS70" s="537">
        <f t="shared" si="27"/>
        <v>0</v>
      </c>
      <c r="AT70" s="537">
        <f t="shared" si="27"/>
        <v>0</v>
      </c>
      <c r="AU70" s="537">
        <f t="shared" si="27"/>
        <v>0</v>
      </c>
      <c r="AV70" s="537">
        <f t="shared" si="27"/>
        <v>0</v>
      </c>
      <c r="AW70" s="537">
        <f t="shared" si="27"/>
        <v>0</v>
      </c>
      <c r="AX70" s="537">
        <f t="shared" si="27"/>
        <v>0</v>
      </c>
      <c r="AY70" s="537">
        <f t="shared" si="27"/>
        <v>0</v>
      </c>
      <c r="AZ70" s="537">
        <f t="shared" si="27"/>
        <v>0</v>
      </c>
      <c r="BA70" s="537">
        <f t="shared" si="27"/>
        <v>0</v>
      </c>
      <c r="BB70" s="537">
        <f t="shared" si="27"/>
        <v>0</v>
      </c>
      <c r="BC70" s="537">
        <f t="shared" si="27"/>
        <v>0</v>
      </c>
      <c r="BD70" s="537">
        <f t="shared" si="27"/>
        <v>0</v>
      </c>
      <c r="BE70" s="537">
        <f t="shared" si="27"/>
        <v>0</v>
      </c>
      <c r="BF70" s="537">
        <f t="shared" si="27"/>
        <v>0</v>
      </c>
      <c r="BG70" s="537">
        <f t="shared" si="27"/>
        <v>0</v>
      </c>
      <c r="BH70" s="537">
        <f t="shared" si="27"/>
        <v>0</v>
      </c>
      <c r="BI70" s="537">
        <f t="shared" si="27"/>
        <v>0</v>
      </c>
      <c r="BJ70" s="537">
        <f t="shared" si="27"/>
        <v>0</v>
      </c>
      <c r="BK70" s="537">
        <f t="shared" si="27"/>
        <v>0</v>
      </c>
      <c r="BL70" s="537">
        <f t="shared" si="27"/>
        <v>0</v>
      </c>
      <c r="BM70" s="537">
        <f t="shared" si="27"/>
        <v>0</v>
      </c>
      <c r="BN70" s="537">
        <f t="shared" si="27"/>
        <v>0</v>
      </c>
      <c r="BO70" s="537">
        <f t="shared" si="27"/>
        <v>0</v>
      </c>
      <c r="BP70" s="537">
        <f t="shared" si="27"/>
        <v>0</v>
      </c>
      <c r="BQ70" s="537">
        <f t="shared" si="27"/>
        <v>0</v>
      </c>
      <c r="BR70" s="537">
        <f t="shared" si="27"/>
        <v>0</v>
      </c>
      <c r="BS70" s="537">
        <f t="shared" si="27"/>
        <v>0</v>
      </c>
      <c r="BT70" s="537">
        <f t="shared" si="27"/>
        <v>0</v>
      </c>
      <c r="BU70" s="537">
        <f t="shared" si="27"/>
        <v>0</v>
      </c>
      <c r="BV70" s="537">
        <f t="shared" si="27"/>
        <v>0</v>
      </c>
      <c r="BW70" s="537">
        <f t="shared" si="27"/>
        <v>0</v>
      </c>
      <c r="BX70" s="537">
        <f t="shared" si="27"/>
        <v>0</v>
      </c>
      <c r="BY70" s="537">
        <f t="shared" si="27"/>
        <v>0</v>
      </c>
      <c r="BZ70" s="537">
        <f t="shared" si="27"/>
        <v>0</v>
      </c>
      <c r="CA70" s="537">
        <f t="shared" si="27"/>
        <v>0</v>
      </c>
      <c r="CB70" s="537">
        <f t="shared" si="27"/>
        <v>0</v>
      </c>
      <c r="CC70" s="537">
        <f t="shared" si="27"/>
        <v>0</v>
      </c>
      <c r="CD70" s="537">
        <f t="shared" si="27"/>
        <v>0</v>
      </c>
      <c r="CE70" s="537">
        <f t="shared" si="27"/>
        <v>0</v>
      </c>
      <c r="CF70" s="537">
        <f t="shared" si="27"/>
        <v>0</v>
      </c>
      <c r="CG70" s="537">
        <f t="shared" si="27"/>
        <v>0</v>
      </c>
      <c r="CH70" s="537">
        <f t="shared" si="27"/>
        <v>0</v>
      </c>
      <c r="CI70" s="537">
        <f t="shared" si="27"/>
        <v>0</v>
      </c>
      <c r="CJ70" s="537">
        <f t="shared" si="27"/>
        <v>0</v>
      </c>
      <c r="CK70" s="537">
        <f t="shared" si="27"/>
        <v>0</v>
      </c>
      <c r="CL70" s="537">
        <f t="shared" si="27"/>
        <v>0</v>
      </c>
      <c r="CM70" s="537">
        <f t="shared" si="27"/>
        <v>0</v>
      </c>
      <c r="CN70" s="537">
        <f t="shared" si="27"/>
        <v>0</v>
      </c>
      <c r="CO70" s="537">
        <f t="shared" si="27"/>
        <v>0</v>
      </c>
      <c r="CP70" s="537">
        <f t="shared" si="27"/>
        <v>0</v>
      </c>
      <c r="CQ70" s="537">
        <f t="shared" si="27"/>
        <v>0</v>
      </c>
      <c r="CR70" s="537">
        <f t="shared" si="27"/>
        <v>0</v>
      </c>
      <c r="CS70" s="537">
        <f t="shared" si="27"/>
        <v>0</v>
      </c>
      <c r="CT70" s="537">
        <f t="shared" si="27"/>
        <v>0</v>
      </c>
      <c r="CU70" s="537">
        <f t="shared" si="27"/>
        <v>0</v>
      </c>
      <c r="CV70" s="537">
        <f t="shared" si="27"/>
        <v>0</v>
      </c>
      <c r="CW70" s="537">
        <f t="shared" si="27"/>
        <v>0</v>
      </c>
      <c r="CX70" s="537">
        <f t="shared" si="27"/>
        <v>0</v>
      </c>
      <c r="CY70" s="537">
        <f t="shared" si="27"/>
        <v>0</v>
      </c>
      <c r="CZ70" s="537">
        <f t="shared" si="27"/>
        <v>0</v>
      </c>
      <c r="DA70" s="537">
        <f t="shared" si="27"/>
        <v>0</v>
      </c>
      <c r="DB70" s="537">
        <f t="shared" si="27"/>
        <v>0</v>
      </c>
      <c r="DC70" s="537">
        <f t="shared" si="27"/>
        <v>0</v>
      </c>
      <c r="DD70" s="537">
        <f t="shared" si="27"/>
        <v>0</v>
      </c>
      <c r="DE70" s="537">
        <f t="shared" si="27"/>
        <v>0</v>
      </c>
      <c r="DF70" s="537">
        <f t="shared" si="27"/>
        <v>0</v>
      </c>
      <c r="DG70" s="537">
        <f t="shared" si="27"/>
        <v>0</v>
      </c>
      <c r="DH70" s="537">
        <f t="shared" si="27"/>
        <v>0</v>
      </c>
      <c r="DI70" s="537">
        <f t="shared" si="27"/>
        <v>0</v>
      </c>
      <c r="DJ70" s="537">
        <f t="shared" si="27"/>
        <v>0</v>
      </c>
      <c r="DK70" s="537">
        <f t="shared" si="27"/>
        <v>0</v>
      </c>
      <c r="DL70" s="537">
        <f t="shared" si="27"/>
        <v>0</v>
      </c>
      <c r="DM70" s="537">
        <f t="shared" si="27"/>
        <v>0</v>
      </c>
      <c r="DN70" s="537">
        <f t="shared" si="27"/>
        <v>0</v>
      </c>
      <c r="DO70" s="537">
        <f t="shared" si="27"/>
        <v>0</v>
      </c>
      <c r="DP70" s="537">
        <f t="shared" si="27"/>
        <v>0</v>
      </c>
      <c r="DQ70" s="537">
        <f t="shared" si="27"/>
        <v>0</v>
      </c>
      <c r="DR70" s="537">
        <f t="shared" si="27"/>
        <v>0</v>
      </c>
      <c r="DS70" s="537">
        <f t="shared" si="27"/>
        <v>0</v>
      </c>
      <c r="DT70" s="537">
        <f t="shared" si="27"/>
        <v>0</v>
      </c>
      <c r="DU70" s="537">
        <f t="shared" si="27"/>
        <v>0</v>
      </c>
      <c r="DV70" s="537">
        <f t="shared" si="27"/>
        <v>0</v>
      </c>
      <c r="DW70" s="537">
        <f t="shared" si="27"/>
        <v>0</v>
      </c>
      <c r="DX70" s="537">
        <f t="shared" si="27"/>
        <v>0</v>
      </c>
      <c r="DY70" s="537">
        <f t="shared" si="27"/>
        <v>0</v>
      </c>
      <c r="DZ70" s="537">
        <f t="shared" si="27"/>
        <v>0</v>
      </c>
      <c r="EA70" s="537">
        <f t="shared" si="27"/>
        <v>0</v>
      </c>
      <c r="EB70" s="537">
        <f t="shared" si="27"/>
        <v>0</v>
      </c>
      <c r="EC70" s="537">
        <f t="shared" si="27"/>
        <v>0</v>
      </c>
      <c r="ED70" s="537">
        <f t="shared" si="27"/>
        <v>0</v>
      </c>
      <c r="EE70" s="537">
        <f t="shared" si="27"/>
        <v>0</v>
      </c>
      <c r="EF70" s="537">
        <f t="shared" si="27"/>
        <v>0</v>
      </c>
      <c r="EG70" s="537">
        <f t="shared" si="27"/>
        <v>0</v>
      </c>
      <c r="EH70" s="537">
        <f t="shared" si="27"/>
        <v>0</v>
      </c>
      <c r="EI70" s="537">
        <f t="shared" si="27"/>
        <v>0</v>
      </c>
      <c r="EJ70" s="537">
        <f t="shared" si="27"/>
        <v>0</v>
      </c>
      <c r="EK70" s="537">
        <f t="shared" si="27"/>
        <v>0</v>
      </c>
      <c r="EL70" s="537">
        <f t="shared" si="27"/>
        <v>0</v>
      </c>
      <c r="EM70" s="537">
        <f t="shared" si="27"/>
        <v>0</v>
      </c>
      <c r="EN70" s="537">
        <f t="shared" si="27"/>
        <v>0</v>
      </c>
      <c r="EO70" s="537">
        <f t="shared" si="27"/>
        <v>0</v>
      </c>
      <c r="EP70" s="537">
        <f t="shared" si="27"/>
        <v>0</v>
      </c>
      <c r="EQ70" s="537">
        <f t="shared" si="27"/>
        <v>0</v>
      </c>
      <c r="ER70" s="537">
        <f t="shared" si="27"/>
        <v>0</v>
      </c>
      <c r="ES70" s="537">
        <f t="shared" si="27"/>
        <v>0</v>
      </c>
      <c r="ET70" s="537">
        <f t="shared" si="27"/>
        <v>0</v>
      </c>
      <c r="EU70" s="537">
        <f t="shared" si="27"/>
        <v>0</v>
      </c>
      <c r="EV70" s="537">
        <f t="shared" si="27"/>
        <v>0</v>
      </c>
      <c r="EW70" s="537">
        <f t="shared" si="27"/>
        <v>0</v>
      </c>
      <c r="EX70" s="537">
        <f t="shared" si="27"/>
        <v>0</v>
      </c>
      <c r="EY70" s="537">
        <f t="shared" si="27"/>
        <v>0</v>
      </c>
      <c r="EZ70" s="537">
        <f t="shared" si="27"/>
        <v>0</v>
      </c>
      <c r="FA70" s="537">
        <f t="shared" si="27"/>
        <v>0</v>
      </c>
      <c r="FB70" s="537">
        <f t="shared" si="27"/>
        <v>0</v>
      </c>
      <c r="FC70" s="537">
        <f t="shared" si="27"/>
        <v>0</v>
      </c>
      <c r="FD70" s="537">
        <f t="shared" si="27"/>
        <v>0</v>
      </c>
      <c r="FE70" s="537">
        <f t="shared" si="27"/>
        <v>0</v>
      </c>
      <c r="FF70" s="537">
        <f t="shared" si="27"/>
        <v>0</v>
      </c>
      <c r="FG70" s="537">
        <f t="shared" si="27"/>
        <v>0</v>
      </c>
      <c r="FH70" s="537">
        <f t="shared" si="27"/>
        <v>0</v>
      </c>
      <c r="FI70" s="537">
        <f t="shared" si="27"/>
        <v>0</v>
      </c>
      <c r="FJ70" s="537">
        <f t="shared" si="27"/>
        <v>0</v>
      </c>
      <c r="FK70" s="537">
        <f t="shared" si="27"/>
        <v>0</v>
      </c>
      <c r="FL70" s="537">
        <f t="shared" si="27"/>
        <v>0</v>
      </c>
      <c r="FM70" s="537">
        <f t="shared" si="27"/>
        <v>0</v>
      </c>
      <c r="FN70" s="537">
        <f t="shared" si="27"/>
        <v>0</v>
      </c>
      <c r="FO70" s="537">
        <f t="shared" si="27"/>
        <v>0</v>
      </c>
      <c r="FP70" s="537">
        <f t="shared" si="27"/>
        <v>0</v>
      </c>
      <c r="FQ70" s="537">
        <f t="shared" si="27"/>
        <v>0</v>
      </c>
      <c r="FR70" s="537">
        <f t="shared" si="27"/>
        <v>0</v>
      </c>
      <c r="FS70" s="537">
        <f t="shared" si="27"/>
        <v>0</v>
      </c>
      <c r="FT70" s="537">
        <f t="shared" si="27"/>
        <v>0</v>
      </c>
      <c r="FU70" s="537">
        <f t="shared" si="27"/>
        <v>0</v>
      </c>
      <c r="FV70" s="537">
        <f t="shared" si="27"/>
        <v>0</v>
      </c>
      <c r="FW70" s="537">
        <f t="shared" si="27"/>
        <v>0</v>
      </c>
      <c r="FX70" s="537">
        <f t="shared" si="27"/>
        <v>0</v>
      </c>
      <c r="FY70" s="537">
        <f t="shared" si="27"/>
        <v>0</v>
      </c>
      <c r="FZ70" s="537">
        <f t="shared" si="27"/>
        <v>0</v>
      </c>
      <c r="GA70" s="537">
        <f t="shared" si="27"/>
        <v>0</v>
      </c>
      <c r="GB70" s="537">
        <f t="shared" si="27"/>
        <v>0</v>
      </c>
      <c r="GC70" s="537">
        <f t="shared" si="27"/>
        <v>0</v>
      </c>
      <c r="GD70" s="537">
        <f t="shared" si="27"/>
        <v>0</v>
      </c>
      <c r="GE70" s="537">
        <f t="shared" si="27"/>
        <v>0</v>
      </c>
      <c r="GF70" s="537">
        <f t="shared" si="27"/>
        <v>0</v>
      </c>
      <c r="GG70" s="537">
        <f t="shared" si="27"/>
        <v>0</v>
      </c>
      <c r="GH70" s="537">
        <f t="shared" si="27"/>
        <v>0</v>
      </c>
      <c r="GI70" s="537">
        <f t="shared" si="27"/>
        <v>0</v>
      </c>
      <c r="GJ70" s="537">
        <f t="shared" si="27"/>
        <v>0</v>
      </c>
    </row>
    <row r="71" spans="5:192" ht="12.75">
      <c r="E71" s="535" t="str">
        <f>E$67</f>
        <v>End of construction period flag</v>
      </c>
      <c r="G71" s="537" t="str">
        <f>G$67</f>
        <v>flag</v>
      </c>
      <c r="H71" s="537">
        <f>H$67</f>
        <v>1</v>
      </c>
      <c r="J71" s="537">
        <f t="shared" si="28" ref="J71:GJ71">J$67</f>
        <v>0</v>
      </c>
      <c r="K71" s="537">
        <f t="shared" si="28"/>
        <v>0</v>
      </c>
      <c r="L71" s="537">
        <f t="shared" si="28"/>
        <v>0</v>
      </c>
      <c r="M71" s="537">
        <f t="shared" si="28"/>
        <v>0</v>
      </c>
      <c r="N71" s="537">
        <f t="shared" si="28"/>
        <v>0</v>
      </c>
      <c r="O71" s="537">
        <f t="shared" si="28"/>
        <v>0</v>
      </c>
      <c r="P71" s="537">
        <f t="shared" si="28"/>
        <v>0</v>
      </c>
      <c r="Q71" s="537">
        <f t="shared" si="28"/>
        <v>0</v>
      </c>
      <c r="R71" s="537">
        <f t="shared" si="28"/>
        <v>0</v>
      </c>
      <c r="S71" s="537">
        <f t="shared" si="28"/>
        <v>0</v>
      </c>
      <c r="T71" s="537">
        <f t="shared" si="28"/>
        <v>0</v>
      </c>
      <c r="U71" s="537">
        <f t="shared" si="28"/>
        <v>0</v>
      </c>
      <c r="V71" s="537">
        <f t="shared" si="28"/>
        <v>0</v>
      </c>
      <c r="W71" s="537">
        <f t="shared" si="28"/>
        <v>0</v>
      </c>
      <c r="X71" s="537">
        <f t="shared" si="28"/>
        <v>0</v>
      </c>
      <c r="Y71" s="537">
        <f t="shared" si="28"/>
        <v>0</v>
      </c>
      <c r="Z71" s="537">
        <f t="shared" si="28"/>
        <v>0</v>
      </c>
      <c r="AA71" s="537">
        <f t="shared" si="28"/>
        <v>0</v>
      </c>
      <c r="AB71" s="537">
        <f t="shared" si="28"/>
        <v>0</v>
      </c>
      <c r="AC71" s="537">
        <f t="shared" si="28"/>
        <v>0</v>
      </c>
      <c r="AD71" s="537">
        <f t="shared" si="28"/>
        <v>0</v>
      </c>
      <c r="AE71" s="537">
        <f t="shared" si="28"/>
        <v>0</v>
      </c>
      <c r="AF71" s="537">
        <f t="shared" si="28"/>
        <v>0</v>
      </c>
      <c r="AG71" s="537">
        <f t="shared" si="28"/>
        <v>0</v>
      </c>
      <c r="AH71" s="537">
        <f t="shared" si="28"/>
        <v>0</v>
      </c>
      <c r="AI71" s="537">
        <f t="shared" si="28"/>
        <v>0</v>
      </c>
      <c r="AJ71" s="537">
        <f t="shared" si="28"/>
        <v>0</v>
      </c>
      <c r="AK71" s="537">
        <f t="shared" si="28"/>
        <v>0</v>
      </c>
      <c r="AL71" s="537">
        <f t="shared" si="28"/>
        <v>0</v>
      </c>
      <c r="AM71" s="537">
        <f t="shared" si="28"/>
        <v>1</v>
      </c>
      <c r="AN71" s="537">
        <f t="shared" si="28"/>
        <v>0</v>
      </c>
      <c r="AO71" s="537">
        <f t="shared" si="28"/>
        <v>0</v>
      </c>
      <c r="AP71" s="537">
        <f t="shared" si="28"/>
        <v>0</v>
      </c>
      <c r="AQ71" s="537">
        <f t="shared" si="28"/>
        <v>0</v>
      </c>
      <c r="AR71" s="537">
        <f t="shared" si="28"/>
        <v>0</v>
      </c>
      <c r="AS71" s="537">
        <f t="shared" si="28"/>
        <v>0</v>
      </c>
      <c r="AT71" s="537">
        <f t="shared" si="28"/>
        <v>0</v>
      </c>
      <c r="AU71" s="537">
        <f t="shared" si="28"/>
        <v>0</v>
      </c>
      <c r="AV71" s="537">
        <f t="shared" si="28"/>
        <v>0</v>
      </c>
      <c r="AW71" s="537">
        <f t="shared" si="28"/>
        <v>0</v>
      </c>
      <c r="AX71" s="537">
        <f t="shared" si="28"/>
        <v>0</v>
      </c>
      <c r="AY71" s="537">
        <f t="shared" si="28"/>
        <v>0</v>
      </c>
      <c r="AZ71" s="537">
        <f t="shared" si="28"/>
        <v>0</v>
      </c>
      <c r="BA71" s="537">
        <f t="shared" si="28"/>
        <v>0</v>
      </c>
      <c r="BB71" s="537">
        <f t="shared" si="28"/>
        <v>0</v>
      </c>
      <c r="BC71" s="537">
        <f t="shared" si="28"/>
        <v>0</v>
      </c>
      <c r="BD71" s="537">
        <f t="shared" si="28"/>
        <v>0</v>
      </c>
      <c r="BE71" s="537">
        <f t="shared" si="28"/>
        <v>0</v>
      </c>
      <c r="BF71" s="537">
        <f t="shared" si="28"/>
        <v>0</v>
      </c>
      <c r="BG71" s="537">
        <f t="shared" si="28"/>
        <v>0</v>
      </c>
      <c r="BH71" s="537">
        <f t="shared" si="28"/>
        <v>0</v>
      </c>
      <c r="BI71" s="537">
        <f t="shared" si="28"/>
        <v>0</v>
      </c>
      <c r="BJ71" s="537">
        <f t="shared" si="28"/>
        <v>0</v>
      </c>
      <c r="BK71" s="537">
        <f t="shared" si="28"/>
        <v>0</v>
      </c>
      <c r="BL71" s="537">
        <f t="shared" si="28"/>
        <v>0</v>
      </c>
      <c r="BM71" s="537">
        <f t="shared" si="28"/>
        <v>0</v>
      </c>
      <c r="BN71" s="537">
        <f t="shared" si="28"/>
        <v>0</v>
      </c>
      <c r="BO71" s="537">
        <f t="shared" si="28"/>
        <v>0</v>
      </c>
      <c r="BP71" s="537">
        <f t="shared" si="28"/>
        <v>0</v>
      </c>
      <c r="BQ71" s="537">
        <f t="shared" si="28"/>
        <v>0</v>
      </c>
      <c r="BR71" s="537">
        <f t="shared" si="28"/>
        <v>0</v>
      </c>
      <c r="BS71" s="537">
        <f t="shared" si="28"/>
        <v>0</v>
      </c>
      <c r="BT71" s="537">
        <f t="shared" si="28"/>
        <v>0</v>
      </c>
      <c r="BU71" s="537">
        <f t="shared" si="28"/>
        <v>0</v>
      </c>
      <c r="BV71" s="537">
        <f t="shared" si="28"/>
        <v>0</v>
      </c>
      <c r="BW71" s="537">
        <f t="shared" si="28"/>
        <v>0</v>
      </c>
      <c r="BX71" s="537">
        <f t="shared" si="28"/>
        <v>0</v>
      </c>
      <c r="BY71" s="537">
        <f t="shared" si="28"/>
        <v>0</v>
      </c>
      <c r="BZ71" s="537">
        <f t="shared" si="28"/>
        <v>0</v>
      </c>
      <c r="CA71" s="537">
        <f t="shared" si="28"/>
        <v>0</v>
      </c>
      <c r="CB71" s="537">
        <f t="shared" si="28"/>
        <v>0</v>
      </c>
      <c r="CC71" s="537">
        <f t="shared" si="28"/>
        <v>0</v>
      </c>
      <c r="CD71" s="537">
        <f t="shared" si="28"/>
        <v>0</v>
      </c>
      <c r="CE71" s="537">
        <f t="shared" si="28"/>
        <v>0</v>
      </c>
      <c r="CF71" s="537">
        <f t="shared" si="28"/>
        <v>0</v>
      </c>
      <c r="CG71" s="537">
        <f t="shared" si="28"/>
        <v>0</v>
      </c>
      <c r="CH71" s="537">
        <f t="shared" si="28"/>
        <v>0</v>
      </c>
      <c r="CI71" s="537">
        <f t="shared" si="28"/>
        <v>0</v>
      </c>
      <c r="CJ71" s="537">
        <f t="shared" si="28"/>
        <v>0</v>
      </c>
      <c r="CK71" s="537">
        <f t="shared" si="28"/>
        <v>0</v>
      </c>
      <c r="CL71" s="537">
        <f t="shared" si="28"/>
        <v>0</v>
      </c>
      <c r="CM71" s="537">
        <f t="shared" si="28"/>
        <v>0</v>
      </c>
      <c r="CN71" s="537">
        <f t="shared" si="28"/>
        <v>0</v>
      </c>
      <c r="CO71" s="537">
        <f t="shared" si="28"/>
        <v>0</v>
      </c>
      <c r="CP71" s="537">
        <f t="shared" si="28"/>
        <v>0</v>
      </c>
      <c r="CQ71" s="537">
        <f t="shared" si="28"/>
        <v>0</v>
      </c>
      <c r="CR71" s="537">
        <f t="shared" si="28"/>
        <v>0</v>
      </c>
      <c r="CS71" s="537">
        <f t="shared" si="28"/>
        <v>0</v>
      </c>
      <c r="CT71" s="537">
        <f t="shared" si="28"/>
        <v>0</v>
      </c>
      <c r="CU71" s="537">
        <f t="shared" si="28"/>
        <v>0</v>
      </c>
      <c r="CV71" s="537">
        <f t="shared" si="28"/>
        <v>0</v>
      </c>
      <c r="CW71" s="537">
        <f t="shared" si="28"/>
        <v>0</v>
      </c>
      <c r="CX71" s="537">
        <f t="shared" si="28"/>
        <v>0</v>
      </c>
      <c r="CY71" s="537">
        <f t="shared" si="28"/>
        <v>0</v>
      </c>
      <c r="CZ71" s="537">
        <f t="shared" si="28"/>
        <v>0</v>
      </c>
      <c r="DA71" s="537">
        <f t="shared" si="28"/>
        <v>0</v>
      </c>
      <c r="DB71" s="537">
        <f t="shared" si="28"/>
        <v>0</v>
      </c>
      <c r="DC71" s="537">
        <f t="shared" si="28"/>
        <v>0</v>
      </c>
      <c r="DD71" s="537">
        <f t="shared" si="28"/>
        <v>0</v>
      </c>
      <c r="DE71" s="537">
        <f t="shared" si="28"/>
        <v>0</v>
      </c>
      <c r="DF71" s="537">
        <f t="shared" si="28"/>
        <v>0</v>
      </c>
      <c r="DG71" s="537">
        <f t="shared" si="28"/>
        <v>0</v>
      </c>
      <c r="DH71" s="537">
        <f t="shared" si="28"/>
        <v>0</v>
      </c>
      <c r="DI71" s="537">
        <f t="shared" si="28"/>
        <v>0</v>
      </c>
      <c r="DJ71" s="537">
        <f t="shared" si="28"/>
        <v>0</v>
      </c>
      <c r="DK71" s="537">
        <f t="shared" si="28"/>
        <v>0</v>
      </c>
      <c r="DL71" s="537">
        <f t="shared" si="28"/>
        <v>0</v>
      </c>
      <c r="DM71" s="537">
        <f t="shared" si="28"/>
        <v>0</v>
      </c>
      <c r="DN71" s="537">
        <f t="shared" si="28"/>
        <v>0</v>
      </c>
      <c r="DO71" s="537">
        <f t="shared" si="28"/>
        <v>0</v>
      </c>
      <c r="DP71" s="537">
        <f t="shared" si="28"/>
        <v>0</v>
      </c>
      <c r="DQ71" s="537">
        <f t="shared" si="28"/>
        <v>0</v>
      </c>
      <c r="DR71" s="537">
        <f t="shared" si="28"/>
        <v>0</v>
      </c>
      <c r="DS71" s="537">
        <f t="shared" si="28"/>
        <v>0</v>
      </c>
      <c r="DT71" s="537">
        <f t="shared" si="28"/>
        <v>0</v>
      </c>
      <c r="DU71" s="537">
        <f t="shared" si="28"/>
        <v>0</v>
      </c>
      <c r="DV71" s="537">
        <f t="shared" si="28"/>
        <v>0</v>
      </c>
      <c r="DW71" s="537">
        <f t="shared" si="28"/>
        <v>0</v>
      </c>
      <c r="DX71" s="537">
        <f t="shared" si="28"/>
        <v>0</v>
      </c>
      <c r="DY71" s="537">
        <f t="shared" si="28"/>
        <v>0</v>
      </c>
      <c r="DZ71" s="537">
        <f t="shared" si="28"/>
        <v>0</v>
      </c>
      <c r="EA71" s="537">
        <f t="shared" si="28"/>
        <v>0</v>
      </c>
      <c r="EB71" s="537">
        <f t="shared" si="28"/>
        <v>0</v>
      </c>
      <c r="EC71" s="537">
        <f t="shared" si="28"/>
        <v>0</v>
      </c>
      <c r="ED71" s="537">
        <f t="shared" si="28"/>
        <v>0</v>
      </c>
      <c r="EE71" s="537">
        <f t="shared" si="28"/>
        <v>0</v>
      </c>
      <c r="EF71" s="537">
        <f t="shared" si="28"/>
        <v>0</v>
      </c>
      <c r="EG71" s="537">
        <f t="shared" si="28"/>
        <v>0</v>
      </c>
      <c r="EH71" s="537">
        <f t="shared" si="28"/>
        <v>0</v>
      </c>
      <c r="EI71" s="537">
        <f t="shared" si="28"/>
        <v>0</v>
      </c>
      <c r="EJ71" s="537">
        <f t="shared" si="28"/>
        <v>0</v>
      </c>
      <c r="EK71" s="537">
        <f t="shared" si="28"/>
        <v>0</v>
      </c>
      <c r="EL71" s="537">
        <f t="shared" si="28"/>
        <v>0</v>
      </c>
      <c r="EM71" s="537">
        <f t="shared" si="28"/>
        <v>0</v>
      </c>
      <c r="EN71" s="537">
        <f t="shared" si="28"/>
        <v>0</v>
      </c>
      <c r="EO71" s="537">
        <f t="shared" si="28"/>
        <v>0</v>
      </c>
      <c r="EP71" s="537">
        <f t="shared" si="28"/>
        <v>0</v>
      </c>
      <c r="EQ71" s="537">
        <f t="shared" si="28"/>
        <v>0</v>
      </c>
      <c r="ER71" s="537">
        <f t="shared" si="28"/>
        <v>0</v>
      </c>
      <c r="ES71" s="537">
        <f t="shared" si="28"/>
        <v>0</v>
      </c>
      <c r="ET71" s="537">
        <f t="shared" si="28"/>
        <v>0</v>
      </c>
      <c r="EU71" s="537">
        <f t="shared" si="28"/>
        <v>0</v>
      </c>
      <c r="EV71" s="537">
        <f t="shared" si="28"/>
        <v>0</v>
      </c>
      <c r="EW71" s="537">
        <f t="shared" si="28"/>
        <v>0</v>
      </c>
      <c r="EX71" s="537">
        <f t="shared" si="28"/>
        <v>0</v>
      </c>
      <c r="EY71" s="537">
        <f t="shared" si="28"/>
        <v>0</v>
      </c>
      <c r="EZ71" s="537">
        <f t="shared" si="28"/>
        <v>0</v>
      </c>
      <c r="FA71" s="537">
        <f t="shared" si="28"/>
        <v>0</v>
      </c>
      <c r="FB71" s="537">
        <f t="shared" si="28"/>
        <v>0</v>
      </c>
      <c r="FC71" s="537">
        <f t="shared" si="28"/>
        <v>0</v>
      </c>
      <c r="FD71" s="537">
        <f t="shared" si="28"/>
        <v>0</v>
      </c>
      <c r="FE71" s="537">
        <f t="shared" si="28"/>
        <v>0</v>
      </c>
      <c r="FF71" s="537">
        <f t="shared" si="28"/>
        <v>0</v>
      </c>
      <c r="FG71" s="537">
        <f t="shared" si="28"/>
        <v>0</v>
      </c>
      <c r="FH71" s="537">
        <f t="shared" si="28"/>
        <v>0</v>
      </c>
      <c r="FI71" s="537">
        <f t="shared" si="28"/>
        <v>0</v>
      </c>
      <c r="FJ71" s="537">
        <f t="shared" si="28"/>
        <v>0</v>
      </c>
      <c r="FK71" s="537">
        <f t="shared" si="28"/>
        <v>0</v>
      </c>
      <c r="FL71" s="537">
        <f t="shared" si="28"/>
        <v>0</v>
      </c>
      <c r="FM71" s="537">
        <f t="shared" si="28"/>
        <v>0</v>
      </c>
      <c r="FN71" s="537">
        <f t="shared" si="28"/>
        <v>0</v>
      </c>
      <c r="FO71" s="537">
        <f t="shared" si="28"/>
        <v>0</v>
      </c>
      <c r="FP71" s="537">
        <f t="shared" si="28"/>
        <v>0</v>
      </c>
      <c r="FQ71" s="537">
        <f t="shared" si="28"/>
        <v>0</v>
      </c>
      <c r="FR71" s="537">
        <f t="shared" si="28"/>
        <v>0</v>
      </c>
      <c r="FS71" s="537">
        <f t="shared" si="28"/>
        <v>0</v>
      </c>
      <c r="FT71" s="537">
        <f t="shared" si="28"/>
        <v>0</v>
      </c>
      <c r="FU71" s="537">
        <f t="shared" si="28"/>
        <v>0</v>
      </c>
      <c r="FV71" s="537">
        <f t="shared" si="28"/>
        <v>0</v>
      </c>
      <c r="FW71" s="537">
        <f t="shared" si="28"/>
        <v>0</v>
      </c>
      <c r="FX71" s="537">
        <f t="shared" si="28"/>
        <v>0</v>
      </c>
      <c r="FY71" s="537">
        <f t="shared" si="28"/>
        <v>0</v>
      </c>
      <c r="FZ71" s="537">
        <f t="shared" si="28"/>
        <v>0</v>
      </c>
      <c r="GA71" s="537">
        <f t="shared" si="28"/>
        <v>0</v>
      </c>
      <c r="GB71" s="537">
        <f t="shared" si="28"/>
        <v>0</v>
      </c>
      <c r="GC71" s="537">
        <f t="shared" si="28"/>
        <v>0</v>
      </c>
      <c r="GD71" s="537">
        <f t="shared" si="28"/>
        <v>0</v>
      </c>
      <c r="GE71" s="537">
        <f t="shared" si="28"/>
        <v>0</v>
      </c>
      <c r="GF71" s="537">
        <f t="shared" si="28"/>
        <v>0</v>
      </c>
      <c r="GG71" s="537">
        <f t="shared" si="28"/>
        <v>0</v>
      </c>
      <c r="GH71" s="537">
        <f t="shared" si="28"/>
        <v>0</v>
      </c>
      <c r="GI71" s="537">
        <f t="shared" si="28"/>
        <v>0</v>
      </c>
      <c r="GJ71" s="537">
        <f t="shared" si="28"/>
        <v>0</v>
      </c>
    </row>
    <row r="72" spans="5:192" ht="12.75">
      <c r="E72" s="535" t="s">
        <v>63</v>
      </c>
      <c r="G72" s="537" t="s">
        <v>50</v>
      </c>
      <c r="H72" s="537">
        <f>SUM(J72:GJ72)</f>
        <v>24</v>
      </c>
      <c r="J72" s="537">
        <f t="shared" si="29" ref="J72:GJ72">I72+J70-I71</f>
        <v>0</v>
      </c>
      <c r="K72" s="537">
        <f t="shared" si="29"/>
        <v>0</v>
      </c>
      <c r="L72" s="537">
        <f t="shared" si="29"/>
        <v>0</v>
      </c>
      <c r="M72" s="537">
        <f t="shared" si="29"/>
        <v>0</v>
      </c>
      <c r="N72" s="537">
        <f t="shared" si="29"/>
        <v>0</v>
      </c>
      <c r="O72" s="537">
        <f t="shared" si="29"/>
        <v>0</v>
      </c>
      <c r="P72" s="537">
        <f t="shared" si="29"/>
        <v>1</v>
      </c>
      <c r="Q72" s="537">
        <f t="shared" si="29"/>
        <v>1</v>
      </c>
      <c r="R72" s="537">
        <f t="shared" si="29"/>
        <v>1</v>
      </c>
      <c r="S72" s="537">
        <f t="shared" si="29"/>
        <v>1</v>
      </c>
      <c r="T72" s="537">
        <f t="shared" si="29"/>
        <v>1</v>
      </c>
      <c r="U72" s="537">
        <f t="shared" si="29"/>
        <v>1</v>
      </c>
      <c r="V72" s="537">
        <f t="shared" si="29"/>
        <v>1</v>
      </c>
      <c r="W72" s="537">
        <f t="shared" si="29"/>
        <v>1</v>
      </c>
      <c r="X72" s="537">
        <f t="shared" si="29"/>
        <v>1</v>
      </c>
      <c r="Y72" s="537">
        <f t="shared" si="29"/>
        <v>1</v>
      </c>
      <c r="Z72" s="537">
        <f t="shared" si="29"/>
        <v>1</v>
      </c>
      <c r="AA72" s="537">
        <f t="shared" si="29"/>
        <v>1</v>
      </c>
      <c r="AB72" s="537">
        <f t="shared" si="29"/>
        <v>1</v>
      </c>
      <c r="AC72" s="537">
        <f t="shared" si="29"/>
        <v>1</v>
      </c>
      <c r="AD72" s="537">
        <f t="shared" si="29"/>
        <v>1</v>
      </c>
      <c r="AE72" s="537">
        <f t="shared" si="29"/>
        <v>1</v>
      </c>
      <c r="AF72" s="537">
        <f t="shared" si="29"/>
        <v>1</v>
      </c>
      <c r="AG72" s="537">
        <f t="shared" si="29"/>
        <v>1</v>
      </c>
      <c r="AH72" s="537">
        <f t="shared" si="29"/>
        <v>1</v>
      </c>
      <c r="AI72" s="537">
        <f t="shared" si="29"/>
        <v>1</v>
      </c>
      <c r="AJ72" s="537">
        <f t="shared" si="29"/>
        <v>1</v>
      </c>
      <c r="AK72" s="537">
        <f t="shared" si="29"/>
        <v>1</v>
      </c>
      <c r="AL72" s="537">
        <f t="shared" si="29"/>
        <v>1</v>
      </c>
      <c r="AM72" s="537">
        <f t="shared" si="29"/>
        <v>1</v>
      </c>
      <c r="AN72" s="537">
        <f t="shared" si="29"/>
        <v>0</v>
      </c>
      <c r="AO72" s="537">
        <f t="shared" si="29"/>
        <v>0</v>
      </c>
      <c r="AP72" s="537">
        <f t="shared" si="29"/>
        <v>0</v>
      </c>
      <c r="AQ72" s="537">
        <f t="shared" si="29"/>
        <v>0</v>
      </c>
      <c r="AR72" s="537">
        <f t="shared" si="29"/>
        <v>0</v>
      </c>
      <c r="AS72" s="537">
        <f t="shared" si="29"/>
        <v>0</v>
      </c>
      <c r="AT72" s="537">
        <f t="shared" si="29"/>
        <v>0</v>
      </c>
      <c r="AU72" s="537">
        <f t="shared" si="29"/>
        <v>0</v>
      </c>
      <c r="AV72" s="537">
        <f t="shared" si="29"/>
        <v>0</v>
      </c>
      <c r="AW72" s="537">
        <f t="shared" si="29"/>
        <v>0</v>
      </c>
      <c r="AX72" s="537">
        <f t="shared" si="29"/>
        <v>0</v>
      </c>
      <c r="AY72" s="537">
        <f t="shared" si="29"/>
        <v>0</v>
      </c>
      <c r="AZ72" s="537">
        <f t="shared" si="29"/>
        <v>0</v>
      </c>
      <c r="BA72" s="537">
        <f t="shared" si="29"/>
        <v>0</v>
      </c>
      <c r="BB72" s="537">
        <f t="shared" si="29"/>
        <v>0</v>
      </c>
      <c r="BC72" s="537">
        <f t="shared" si="29"/>
        <v>0</v>
      </c>
      <c r="BD72" s="537">
        <f t="shared" si="29"/>
        <v>0</v>
      </c>
      <c r="BE72" s="537">
        <f t="shared" si="29"/>
        <v>0</v>
      </c>
      <c r="BF72" s="537">
        <f t="shared" si="29"/>
        <v>0</v>
      </c>
      <c r="BG72" s="537">
        <f t="shared" si="29"/>
        <v>0</v>
      </c>
      <c r="BH72" s="537">
        <f t="shared" si="29"/>
        <v>0</v>
      </c>
      <c r="BI72" s="537">
        <f t="shared" si="29"/>
        <v>0</v>
      </c>
      <c r="BJ72" s="537">
        <f t="shared" si="29"/>
        <v>0</v>
      </c>
      <c r="BK72" s="537">
        <f t="shared" si="29"/>
        <v>0</v>
      </c>
      <c r="BL72" s="537">
        <f t="shared" si="29"/>
        <v>0</v>
      </c>
      <c r="BM72" s="537">
        <f t="shared" si="29"/>
        <v>0</v>
      </c>
      <c r="BN72" s="537">
        <f t="shared" si="29"/>
        <v>0</v>
      </c>
      <c r="BO72" s="537">
        <f t="shared" si="29"/>
        <v>0</v>
      </c>
      <c r="BP72" s="537">
        <f t="shared" si="29"/>
        <v>0</v>
      </c>
      <c r="BQ72" s="537">
        <f t="shared" si="29"/>
        <v>0</v>
      </c>
      <c r="BR72" s="537">
        <f t="shared" si="29"/>
        <v>0</v>
      </c>
      <c r="BS72" s="537">
        <f t="shared" si="29"/>
        <v>0</v>
      </c>
      <c r="BT72" s="537">
        <f t="shared" si="29"/>
        <v>0</v>
      </c>
      <c r="BU72" s="537">
        <f t="shared" si="29"/>
        <v>0</v>
      </c>
      <c r="BV72" s="537">
        <f t="shared" si="29"/>
        <v>0</v>
      </c>
      <c r="BW72" s="537">
        <f t="shared" si="29"/>
        <v>0</v>
      </c>
      <c r="BX72" s="537">
        <f t="shared" si="29"/>
        <v>0</v>
      </c>
      <c r="BY72" s="537">
        <f t="shared" si="29"/>
        <v>0</v>
      </c>
      <c r="BZ72" s="537">
        <f t="shared" si="29"/>
        <v>0</v>
      </c>
      <c r="CA72" s="537">
        <f t="shared" si="29"/>
        <v>0</v>
      </c>
      <c r="CB72" s="537">
        <f t="shared" si="29"/>
        <v>0</v>
      </c>
      <c r="CC72" s="537">
        <f t="shared" si="29"/>
        <v>0</v>
      </c>
      <c r="CD72" s="537">
        <f t="shared" si="29"/>
        <v>0</v>
      </c>
      <c r="CE72" s="537">
        <f t="shared" si="29"/>
        <v>0</v>
      </c>
      <c r="CF72" s="537">
        <f t="shared" si="29"/>
        <v>0</v>
      </c>
      <c r="CG72" s="537">
        <f t="shared" si="29"/>
        <v>0</v>
      </c>
      <c r="CH72" s="537">
        <f t="shared" si="29"/>
        <v>0</v>
      </c>
      <c r="CI72" s="537">
        <f t="shared" si="29"/>
        <v>0</v>
      </c>
      <c r="CJ72" s="537">
        <f t="shared" si="29"/>
        <v>0</v>
      </c>
      <c r="CK72" s="537">
        <f t="shared" si="29"/>
        <v>0</v>
      </c>
      <c r="CL72" s="537">
        <f t="shared" si="29"/>
        <v>0</v>
      </c>
      <c r="CM72" s="537">
        <f t="shared" si="29"/>
        <v>0</v>
      </c>
      <c r="CN72" s="537">
        <f t="shared" si="29"/>
        <v>0</v>
      </c>
      <c r="CO72" s="537">
        <f t="shared" si="29"/>
        <v>0</v>
      </c>
      <c r="CP72" s="537">
        <f t="shared" si="29"/>
        <v>0</v>
      </c>
      <c r="CQ72" s="537">
        <f t="shared" si="29"/>
        <v>0</v>
      </c>
      <c r="CR72" s="537">
        <f t="shared" si="29"/>
        <v>0</v>
      </c>
      <c r="CS72" s="537">
        <f t="shared" si="29"/>
        <v>0</v>
      </c>
      <c r="CT72" s="537">
        <f t="shared" si="29"/>
        <v>0</v>
      </c>
      <c r="CU72" s="537">
        <f t="shared" si="29"/>
        <v>0</v>
      </c>
      <c r="CV72" s="537">
        <f t="shared" si="29"/>
        <v>0</v>
      </c>
      <c r="CW72" s="537">
        <f t="shared" si="29"/>
        <v>0</v>
      </c>
      <c r="CX72" s="537">
        <f t="shared" si="29"/>
        <v>0</v>
      </c>
      <c r="CY72" s="537">
        <f t="shared" si="29"/>
        <v>0</v>
      </c>
      <c r="CZ72" s="537">
        <f t="shared" si="29"/>
        <v>0</v>
      </c>
      <c r="DA72" s="537">
        <f t="shared" si="29"/>
        <v>0</v>
      </c>
      <c r="DB72" s="537">
        <f t="shared" si="29"/>
        <v>0</v>
      </c>
      <c r="DC72" s="537">
        <f t="shared" si="29"/>
        <v>0</v>
      </c>
      <c r="DD72" s="537">
        <f t="shared" si="29"/>
        <v>0</v>
      </c>
      <c r="DE72" s="537">
        <f t="shared" si="29"/>
        <v>0</v>
      </c>
      <c r="DF72" s="537">
        <f t="shared" si="29"/>
        <v>0</v>
      </c>
      <c r="DG72" s="537">
        <f t="shared" si="29"/>
        <v>0</v>
      </c>
      <c r="DH72" s="537">
        <f t="shared" si="29"/>
        <v>0</v>
      </c>
      <c r="DI72" s="537">
        <f t="shared" si="29"/>
        <v>0</v>
      </c>
      <c r="DJ72" s="537">
        <f t="shared" si="29"/>
        <v>0</v>
      </c>
      <c r="DK72" s="537">
        <f t="shared" si="29"/>
        <v>0</v>
      </c>
      <c r="DL72" s="537">
        <f t="shared" si="29"/>
        <v>0</v>
      </c>
      <c r="DM72" s="537">
        <f t="shared" si="29"/>
        <v>0</v>
      </c>
      <c r="DN72" s="537">
        <f t="shared" si="29"/>
        <v>0</v>
      </c>
      <c r="DO72" s="537">
        <f t="shared" si="29"/>
        <v>0</v>
      </c>
      <c r="DP72" s="537">
        <f t="shared" si="29"/>
        <v>0</v>
      </c>
      <c r="DQ72" s="537">
        <f t="shared" si="29"/>
        <v>0</v>
      </c>
      <c r="DR72" s="537">
        <f t="shared" si="29"/>
        <v>0</v>
      </c>
      <c r="DS72" s="537">
        <f t="shared" si="29"/>
        <v>0</v>
      </c>
      <c r="DT72" s="537">
        <f t="shared" si="29"/>
        <v>0</v>
      </c>
      <c r="DU72" s="537">
        <f t="shared" si="29"/>
        <v>0</v>
      </c>
      <c r="DV72" s="537">
        <f t="shared" si="29"/>
        <v>0</v>
      </c>
      <c r="DW72" s="537">
        <f t="shared" si="29"/>
        <v>0</v>
      </c>
      <c r="DX72" s="537">
        <f t="shared" si="29"/>
        <v>0</v>
      </c>
      <c r="DY72" s="537">
        <f t="shared" si="29"/>
        <v>0</v>
      </c>
      <c r="DZ72" s="537">
        <f t="shared" si="29"/>
        <v>0</v>
      </c>
      <c r="EA72" s="537">
        <f t="shared" si="29"/>
        <v>0</v>
      </c>
      <c r="EB72" s="537">
        <f t="shared" si="29"/>
        <v>0</v>
      </c>
      <c r="EC72" s="537">
        <f t="shared" si="29"/>
        <v>0</v>
      </c>
      <c r="ED72" s="537">
        <f t="shared" si="29"/>
        <v>0</v>
      </c>
      <c r="EE72" s="537">
        <f t="shared" si="29"/>
        <v>0</v>
      </c>
      <c r="EF72" s="537">
        <f t="shared" si="29"/>
        <v>0</v>
      </c>
      <c r="EG72" s="537">
        <f t="shared" si="29"/>
        <v>0</v>
      </c>
      <c r="EH72" s="537">
        <f t="shared" si="29"/>
        <v>0</v>
      </c>
      <c r="EI72" s="537">
        <f t="shared" si="29"/>
        <v>0</v>
      </c>
      <c r="EJ72" s="537">
        <f t="shared" si="29"/>
        <v>0</v>
      </c>
      <c r="EK72" s="537">
        <f t="shared" si="29"/>
        <v>0</v>
      </c>
      <c r="EL72" s="537">
        <f t="shared" si="29"/>
        <v>0</v>
      </c>
      <c r="EM72" s="537">
        <f t="shared" si="29"/>
        <v>0</v>
      </c>
      <c r="EN72" s="537">
        <f t="shared" si="29"/>
        <v>0</v>
      </c>
      <c r="EO72" s="537">
        <f t="shared" si="29"/>
        <v>0</v>
      </c>
      <c r="EP72" s="537">
        <f t="shared" si="29"/>
        <v>0</v>
      </c>
      <c r="EQ72" s="537">
        <f t="shared" si="29"/>
        <v>0</v>
      </c>
      <c r="ER72" s="537">
        <f t="shared" si="29"/>
        <v>0</v>
      </c>
      <c r="ES72" s="537">
        <f t="shared" si="29"/>
        <v>0</v>
      </c>
      <c r="ET72" s="537">
        <f t="shared" si="29"/>
        <v>0</v>
      </c>
      <c r="EU72" s="537">
        <f t="shared" si="29"/>
        <v>0</v>
      </c>
      <c r="EV72" s="537">
        <f t="shared" si="29"/>
        <v>0</v>
      </c>
      <c r="EW72" s="537">
        <f t="shared" si="29"/>
        <v>0</v>
      </c>
      <c r="EX72" s="537">
        <f t="shared" si="29"/>
        <v>0</v>
      </c>
      <c r="EY72" s="537">
        <f t="shared" si="29"/>
        <v>0</v>
      </c>
      <c r="EZ72" s="537">
        <f t="shared" si="29"/>
        <v>0</v>
      </c>
      <c r="FA72" s="537">
        <f t="shared" si="29"/>
        <v>0</v>
      </c>
      <c r="FB72" s="537">
        <f t="shared" si="29"/>
        <v>0</v>
      </c>
      <c r="FC72" s="537">
        <f t="shared" si="29"/>
        <v>0</v>
      </c>
      <c r="FD72" s="537">
        <f t="shared" si="29"/>
        <v>0</v>
      </c>
      <c r="FE72" s="537">
        <f t="shared" si="29"/>
        <v>0</v>
      </c>
      <c r="FF72" s="537">
        <f t="shared" si="29"/>
        <v>0</v>
      </c>
      <c r="FG72" s="537">
        <f t="shared" si="29"/>
        <v>0</v>
      </c>
      <c r="FH72" s="537">
        <f t="shared" si="29"/>
        <v>0</v>
      </c>
      <c r="FI72" s="537">
        <f t="shared" si="29"/>
        <v>0</v>
      </c>
      <c r="FJ72" s="537">
        <f t="shared" si="29"/>
        <v>0</v>
      </c>
      <c r="FK72" s="537">
        <f t="shared" si="29"/>
        <v>0</v>
      </c>
      <c r="FL72" s="537">
        <f t="shared" si="29"/>
        <v>0</v>
      </c>
      <c r="FM72" s="537">
        <f t="shared" si="29"/>
        <v>0</v>
      </c>
      <c r="FN72" s="537">
        <f t="shared" si="29"/>
        <v>0</v>
      </c>
      <c r="FO72" s="537">
        <f t="shared" si="29"/>
        <v>0</v>
      </c>
      <c r="FP72" s="537">
        <f t="shared" si="29"/>
        <v>0</v>
      </c>
      <c r="FQ72" s="537">
        <f t="shared" si="29"/>
        <v>0</v>
      </c>
      <c r="FR72" s="537">
        <f t="shared" si="29"/>
        <v>0</v>
      </c>
      <c r="FS72" s="537">
        <f t="shared" si="29"/>
        <v>0</v>
      </c>
      <c r="FT72" s="537">
        <f t="shared" si="29"/>
        <v>0</v>
      </c>
      <c r="FU72" s="537">
        <f t="shared" si="29"/>
        <v>0</v>
      </c>
      <c r="FV72" s="537">
        <f t="shared" si="29"/>
        <v>0</v>
      </c>
      <c r="FW72" s="537">
        <f t="shared" si="29"/>
        <v>0</v>
      </c>
      <c r="FX72" s="537">
        <f t="shared" si="29"/>
        <v>0</v>
      </c>
      <c r="FY72" s="537">
        <f t="shared" si="29"/>
        <v>0</v>
      </c>
      <c r="FZ72" s="537">
        <f t="shared" si="29"/>
        <v>0</v>
      </c>
      <c r="GA72" s="537">
        <f t="shared" si="29"/>
        <v>0</v>
      </c>
      <c r="GB72" s="537">
        <f t="shared" si="29"/>
        <v>0</v>
      </c>
      <c r="GC72" s="537">
        <f t="shared" si="29"/>
        <v>0</v>
      </c>
      <c r="GD72" s="537">
        <f t="shared" si="29"/>
        <v>0</v>
      </c>
      <c r="GE72" s="537">
        <f t="shared" si="29"/>
        <v>0</v>
      </c>
      <c r="GF72" s="537">
        <f t="shared" si="29"/>
        <v>0</v>
      </c>
      <c r="GG72" s="537">
        <f t="shared" si="29"/>
        <v>0</v>
      </c>
      <c r="GH72" s="537">
        <f t="shared" si="29"/>
        <v>0</v>
      </c>
      <c r="GI72" s="537">
        <f t="shared" si="29"/>
        <v>0</v>
      </c>
      <c r="GJ72" s="537">
        <f t="shared" si="29"/>
        <v>0</v>
      </c>
    </row>
    <row r="74" spans="2:2" ht="12.75">
      <c r="B74" s="534" t="s">
        <v>64</v>
      </c>
    </row>
    <row r="75" spans="5:192" ht="12.75">
      <c r="E75" s="535" t="str">
        <f>E$67</f>
        <v>End of construction period flag</v>
      </c>
      <c r="G75" s="537" t="str">
        <f>G$67</f>
        <v>flag</v>
      </c>
      <c r="H75" s="537">
        <f>H$67</f>
        <v>1</v>
      </c>
      <c r="J75" s="537">
        <f t="shared" si="30" ref="J75:GJ75">J$67</f>
        <v>0</v>
      </c>
      <c r="K75" s="537">
        <f t="shared" si="30"/>
        <v>0</v>
      </c>
      <c r="L75" s="537">
        <f t="shared" si="30"/>
        <v>0</v>
      </c>
      <c r="M75" s="537">
        <f t="shared" si="30"/>
        <v>0</v>
      </c>
      <c r="N75" s="537">
        <f t="shared" si="30"/>
        <v>0</v>
      </c>
      <c r="O75" s="537">
        <f t="shared" si="30"/>
        <v>0</v>
      </c>
      <c r="P75" s="537">
        <f t="shared" si="30"/>
        <v>0</v>
      </c>
      <c r="Q75" s="537">
        <f t="shared" si="30"/>
        <v>0</v>
      </c>
      <c r="R75" s="537">
        <f t="shared" si="30"/>
        <v>0</v>
      </c>
      <c r="S75" s="537">
        <f t="shared" si="30"/>
        <v>0</v>
      </c>
      <c r="T75" s="537">
        <f t="shared" si="30"/>
        <v>0</v>
      </c>
      <c r="U75" s="537">
        <f t="shared" si="30"/>
        <v>0</v>
      </c>
      <c r="V75" s="537">
        <f t="shared" si="30"/>
        <v>0</v>
      </c>
      <c r="W75" s="537">
        <f t="shared" si="30"/>
        <v>0</v>
      </c>
      <c r="X75" s="537">
        <f t="shared" si="30"/>
        <v>0</v>
      </c>
      <c r="Y75" s="537">
        <f t="shared" si="30"/>
        <v>0</v>
      </c>
      <c r="Z75" s="537">
        <f t="shared" si="30"/>
        <v>0</v>
      </c>
      <c r="AA75" s="537">
        <f t="shared" si="30"/>
        <v>0</v>
      </c>
      <c r="AB75" s="537">
        <f t="shared" si="30"/>
        <v>0</v>
      </c>
      <c r="AC75" s="537">
        <f t="shared" si="30"/>
        <v>0</v>
      </c>
      <c r="AD75" s="537">
        <f t="shared" si="30"/>
        <v>0</v>
      </c>
      <c r="AE75" s="537">
        <f t="shared" si="30"/>
        <v>0</v>
      </c>
      <c r="AF75" s="537">
        <f t="shared" si="30"/>
        <v>0</v>
      </c>
      <c r="AG75" s="537">
        <f t="shared" si="30"/>
        <v>0</v>
      </c>
      <c r="AH75" s="537">
        <f t="shared" si="30"/>
        <v>0</v>
      </c>
      <c r="AI75" s="537">
        <f t="shared" si="30"/>
        <v>0</v>
      </c>
      <c r="AJ75" s="537">
        <f t="shared" si="30"/>
        <v>0</v>
      </c>
      <c r="AK75" s="537">
        <f t="shared" si="30"/>
        <v>0</v>
      </c>
      <c r="AL75" s="537">
        <f t="shared" si="30"/>
        <v>0</v>
      </c>
      <c r="AM75" s="537">
        <f t="shared" si="30"/>
        <v>1</v>
      </c>
      <c r="AN75" s="537">
        <f t="shared" si="30"/>
        <v>0</v>
      </c>
      <c r="AO75" s="537">
        <f t="shared" si="30"/>
        <v>0</v>
      </c>
      <c r="AP75" s="537">
        <f t="shared" si="30"/>
        <v>0</v>
      </c>
      <c r="AQ75" s="537">
        <f t="shared" si="30"/>
        <v>0</v>
      </c>
      <c r="AR75" s="537">
        <f t="shared" si="30"/>
        <v>0</v>
      </c>
      <c r="AS75" s="537">
        <f t="shared" si="30"/>
        <v>0</v>
      </c>
      <c r="AT75" s="537">
        <f t="shared" si="30"/>
        <v>0</v>
      </c>
      <c r="AU75" s="537">
        <f t="shared" si="30"/>
        <v>0</v>
      </c>
      <c r="AV75" s="537">
        <f t="shared" si="30"/>
        <v>0</v>
      </c>
      <c r="AW75" s="537">
        <f t="shared" si="30"/>
        <v>0</v>
      </c>
      <c r="AX75" s="537">
        <f t="shared" si="30"/>
        <v>0</v>
      </c>
      <c r="AY75" s="537">
        <f t="shared" si="30"/>
        <v>0</v>
      </c>
      <c r="AZ75" s="537">
        <f t="shared" si="30"/>
        <v>0</v>
      </c>
      <c r="BA75" s="537">
        <f t="shared" si="30"/>
        <v>0</v>
      </c>
      <c r="BB75" s="537">
        <f t="shared" si="30"/>
        <v>0</v>
      </c>
      <c r="BC75" s="537">
        <f t="shared" si="30"/>
        <v>0</v>
      </c>
      <c r="BD75" s="537">
        <f t="shared" si="30"/>
        <v>0</v>
      </c>
      <c r="BE75" s="537">
        <f t="shared" si="30"/>
        <v>0</v>
      </c>
      <c r="BF75" s="537">
        <f t="shared" si="30"/>
        <v>0</v>
      </c>
      <c r="BG75" s="537">
        <f t="shared" si="30"/>
        <v>0</v>
      </c>
      <c r="BH75" s="537">
        <f t="shared" si="30"/>
        <v>0</v>
      </c>
      <c r="BI75" s="537">
        <f t="shared" si="30"/>
        <v>0</v>
      </c>
      <c r="BJ75" s="537">
        <f t="shared" si="30"/>
        <v>0</v>
      </c>
      <c r="BK75" s="537">
        <f t="shared" si="30"/>
        <v>0</v>
      </c>
      <c r="BL75" s="537">
        <f t="shared" si="30"/>
        <v>0</v>
      </c>
      <c r="BM75" s="537">
        <f t="shared" si="30"/>
        <v>0</v>
      </c>
      <c r="BN75" s="537">
        <f t="shared" si="30"/>
        <v>0</v>
      </c>
      <c r="BO75" s="537">
        <f t="shared" si="30"/>
        <v>0</v>
      </c>
      <c r="BP75" s="537">
        <f t="shared" si="30"/>
        <v>0</v>
      </c>
      <c r="BQ75" s="537">
        <f t="shared" si="30"/>
        <v>0</v>
      </c>
      <c r="BR75" s="537">
        <f t="shared" si="30"/>
        <v>0</v>
      </c>
      <c r="BS75" s="537">
        <f t="shared" si="30"/>
        <v>0</v>
      </c>
      <c r="BT75" s="537">
        <f t="shared" si="30"/>
        <v>0</v>
      </c>
      <c r="BU75" s="537">
        <f t="shared" si="30"/>
        <v>0</v>
      </c>
      <c r="BV75" s="537">
        <f t="shared" si="30"/>
        <v>0</v>
      </c>
      <c r="BW75" s="537">
        <f t="shared" si="30"/>
        <v>0</v>
      </c>
      <c r="BX75" s="537">
        <f t="shared" si="30"/>
        <v>0</v>
      </c>
      <c r="BY75" s="537">
        <f t="shared" si="30"/>
        <v>0</v>
      </c>
      <c r="BZ75" s="537">
        <f t="shared" si="30"/>
        <v>0</v>
      </c>
      <c r="CA75" s="537">
        <f t="shared" si="30"/>
        <v>0</v>
      </c>
      <c r="CB75" s="537">
        <f t="shared" si="30"/>
        <v>0</v>
      </c>
      <c r="CC75" s="537">
        <f t="shared" si="30"/>
        <v>0</v>
      </c>
      <c r="CD75" s="537">
        <f t="shared" si="30"/>
        <v>0</v>
      </c>
      <c r="CE75" s="537">
        <f t="shared" si="30"/>
        <v>0</v>
      </c>
      <c r="CF75" s="537">
        <f t="shared" si="30"/>
        <v>0</v>
      </c>
      <c r="CG75" s="537">
        <f t="shared" si="30"/>
        <v>0</v>
      </c>
      <c r="CH75" s="537">
        <f t="shared" si="30"/>
        <v>0</v>
      </c>
      <c r="CI75" s="537">
        <f t="shared" si="30"/>
        <v>0</v>
      </c>
      <c r="CJ75" s="537">
        <f t="shared" si="30"/>
        <v>0</v>
      </c>
      <c r="CK75" s="537">
        <f t="shared" si="30"/>
        <v>0</v>
      </c>
      <c r="CL75" s="537">
        <f t="shared" si="30"/>
        <v>0</v>
      </c>
      <c r="CM75" s="537">
        <f t="shared" si="30"/>
        <v>0</v>
      </c>
      <c r="CN75" s="537">
        <f t="shared" si="30"/>
        <v>0</v>
      </c>
      <c r="CO75" s="537">
        <f t="shared" si="30"/>
        <v>0</v>
      </c>
      <c r="CP75" s="537">
        <f t="shared" si="30"/>
        <v>0</v>
      </c>
      <c r="CQ75" s="537">
        <f t="shared" si="30"/>
        <v>0</v>
      </c>
      <c r="CR75" s="537">
        <f t="shared" si="30"/>
        <v>0</v>
      </c>
      <c r="CS75" s="537">
        <f t="shared" si="30"/>
        <v>0</v>
      </c>
      <c r="CT75" s="537">
        <f t="shared" si="30"/>
        <v>0</v>
      </c>
      <c r="CU75" s="537">
        <f t="shared" si="30"/>
        <v>0</v>
      </c>
      <c r="CV75" s="537">
        <f t="shared" si="30"/>
        <v>0</v>
      </c>
      <c r="CW75" s="537">
        <f t="shared" si="30"/>
        <v>0</v>
      </c>
      <c r="CX75" s="537">
        <f t="shared" si="30"/>
        <v>0</v>
      </c>
      <c r="CY75" s="537">
        <f t="shared" si="30"/>
        <v>0</v>
      </c>
      <c r="CZ75" s="537">
        <f t="shared" si="30"/>
        <v>0</v>
      </c>
      <c r="DA75" s="537">
        <f t="shared" si="30"/>
        <v>0</v>
      </c>
      <c r="DB75" s="537">
        <f t="shared" si="30"/>
        <v>0</v>
      </c>
      <c r="DC75" s="537">
        <f t="shared" si="30"/>
        <v>0</v>
      </c>
      <c r="DD75" s="537">
        <f t="shared" si="30"/>
        <v>0</v>
      </c>
      <c r="DE75" s="537">
        <f t="shared" si="30"/>
        <v>0</v>
      </c>
      <c r="DF75" s="537">
        <f t="shared" si="30"/>
        <v>0</v>
      </c>
      <c r="DG75" s="537">
        <f t="shared" si="30"/>
        <v>0</v>
      </c>
      <c r="DH75" s="537">
        <f t="shared" si="30"/>
        <v>0</v>
      </c>
      <c r="DI75" s="537">
        <f t="shared" si="30"/>
        <v>0</v>
      </c>
      <c r="DJ75" s="537">
        <f t="shared" si="30"/>
        <v>0</v>
      </c>
      <c r="DK75" s="537">
        <f t="shared" si="30"/>
        <v>0</v>
      </c>
      <c r="DL75" s="537">
        <f t="shared" si="30"/>
        <v>0</v>
      </c>
      <c r="DM75" s="537">
        <f t="shared" si="30"/>
        <v>0</v>
      </c>
      <c r="DN75" s="537">
        <f t="shared" si="30"/>
        <v>0</v>
      </c>
      <c r="DO75" s="537">
        <f t="shared" si="30"/>
        <v>0</v>
      </c>
      <c r="DP75" s="537">
        <f t="shared" si="30"/>
        <v>0</v>
      </c>
      <c r="DQ75" s="537">
        <f t="shared" si="30"/>
        <v>0</v>
      </c>
      <c r="DR75" s="537">
        <f t="shared" si="30"/>
        <v>0</v>
      </c>
      <c r="DS75" s="537">
        <f t="shared" si="30"/>
        <v>0</v>
      </c>
      <c r="DT75" s="537">
        <f t="shared" si="30"/>
        <v>0</v>
      </c>
      <c r="DU75" s="537">
        <f t="shared" si="30"/>
        <v>0</v>
      </c>
      <c r="DV75" s="537">
        <f t="shared" si="30"/>
        <v>0</v>
      </c>
      <c r="DW75" s="537">
        <f t="shared" si="30"/>
        <v>0</v>
      </c>
      <c r="DX75" s="537">
        <f t="shared" si="30"/>
        <v>0</v>
      </c>
      <c r="DY75" s="537">
        <f t="shared" si="30"/>
        <v>0</v>
      </c>
      <c r="DZ75" s="537">
        <f t="shared" si="30"/>
        <v>0</v>
      </c>
      <c r="EA75" s="537">
        <f t="shared" si="30"/>
        <v>0</v>
      </c>
      <c r="EB75" s="537">
        <f t="shared" si="30"/>
        <v>0</v>
      </c>
      <c r="EC75" s="537">
        <f t="shared" si="30"/>
        <v>0</v>
      </c>
      <c r="ED75" s="537">
        <f t="shared" si="30"/>
        <v>0</v>
      </c>
      <c r="EE75" s="537">
        <f t="shared" si="30"/>
        <v>0</v>
      </c>
      <c r="EF75" s="537">
        <f t="shared" si="30"/>
        <v>0</v>
      </c>
      <c r="EG75" s="537">
        <f t="shared" si="30"/>
        <v>0</v>
      </c>
      <c r="EH75" s="537">
        <f t="shared" si="30"/>
        <v>0</v>
      </c>
      <c r="EI75" s="537">
        <f t="shared" si="30"/>
        <v>0</v>
      </c>
      <c r="EJ75" s="537">
        <f t="shared" si="30"/>
        <v>0</v>
      </c>
      <c r="EK75" s="537">
        <f t="shared" si="30"/>
        <v>0</v>
      </c>
      <c r="EL75" s="537">
        <f t="shared" si="30"/>
        <v>0</v>
      </c>
      <c r="EM75" s="537">
        <f t="shared" si="30"/>
        <v>0</v>
      </c>
      <c r="EN75" s="537">
        <f t="shared" si="30"/>
        <v>0</v>
      </c>
      <c r="EO75" s="537">
        <f t="shared" si="30"/>
        <v>0</v>
      </c>
      <c r="EP75" s="537">
        <f t="shared" si="30"/>
        <v>0</v>
      </c>
      <c r="EQ75" s="537">
        <f t="shared" si="30"/>
        <v>0</v>
      </c>
      <c r="ER75" s="537">
        <f t="shared" si="30"/>
        <v>0</v>
      </c>
      <c r="ES75" s="537">
        <f t="shared" si="30"/>
        <v>0</v>
      </c>
      <c r="ET75" s="537">
        <f t="shared" si="30"/>
        <v>0</v>
      </c>
      <c r="EU75" s="537">
        <f t="shared" si="30"/>
        <v>0</v>
      </c>
      <c r="EV75" s="537">
        <f t="shared" si="30"/>
        <v>0</v>
      </c>
      <c r="EW75" s="537">
        <f t="shared" si="30"/>
        <v>0</v>
      </c>
      <c r="EX75" s="537">
        <f t="shared" si="30"/>
        <v>0</v>
      </c>
      <c r="EY75" s="537">
        <f t="shared" si="30"/>
        <v>0</v>
      </c>
      <c r="EZ75" s="537">
        <f t="shared" si="30"/>
        <v>0</v>
      </c>
      <c r="FA75" s="537">
        <f t="shared" si="30"/>
        <v>0</v>
      </c>
      <c r="FB75" s="537">
        <f t="shared" si="30"/>
        <v>0</v>
      </c>
      <c r="FC75" s="537">
        <f t="shared" si="30"/>
        <v>0</v>
      </c>
      <c r="FD75" s="537">
        <f t="shared" si="30"/>
        <v>0</v>
      </c>
      <c r="FE75" s="537">
        <f t="shared" si="30"/>
        <v>0</v>
      </c>
      <c r="FF75" s="537">
        <f t="shared" si="30"/>
        <v>0</v>
      </c>
      <c r="FG75" s="537">
        <f t="shared" si="30"/>
        <v>0</v>
      </c>
      <c r="FH75" s="537">
        <f t="shared" si="30"/>
        <v>0</v>
      </c>
      <c r="FI75" s="537">
        <f t="shared" si="30"/>
        <v>0</v>
      </c>
      <c r="FJ75" s="537">
        <f t="shared" si="30"/>
        <v>0</v>
      </c>
      <c r="FK75" s="537">
        <f t="shared" si="30"/>
        <v>0</v>
      </c>
      <c r="FL75" s="537">
        <f t="shared" si="30"/>
        <v>0</v>
      </c>
      <c r="FM75" s="537">
        <f t="shared" si="30"/>
        <v>0</v>
      </c>
      <c r="FN75" s="537">
        <f t="shared" si="30"/>
        <v>0</v>
      </c>
      <c r="FO75" s="537">
        <f t="shared" si="30"/>
        <v>0</v>
      </c>
      <c r="FP75" s="537">
        <f t="shared" si="30"/>
        <v>0</v>
      </c>
      <c r="FQ75" s="537">
        <f t="shared" si="30"/>
        <v>0</v>
      </c>
      <c r="FR75" s="537">
        <f t="shared" si="30"/>
        <v>0</v>
      </c>
      <c r="FS75" s="537">
        <f t="shared" si="30"/>
        <v>0</v>
      </c>
      <c r="FT75" s="537">
        <f t="shared" si="30"/>
        <v>0</v>
      </c>
      <c r="FU75" s="537">
        <f t="shared" si="30"/>
        <v>0</v>
      </c>
      <c r="FV75" s="537">
        <f t="shared" si="30"/>
        <v>0</v>
      </c>
      <c r="FW75" s="537">
        <f t="shared" si="30"/>
        <v>0</v>
      </c>
      <c r="FX75" s="537">
        <f t="shared" si="30"/>
        <v>0</v>
      </c>
      <c r="FY75" s="537">
        <f t="shared" si="30"/>
        <v>0</v>
      </c>
      <c r="FZ75" s="537">
        <f t="shared" si="30"/>
        <v>0</v>
      </c>
      <c r="GA75" s="537">
        <f t="shared" si="30"/>
        <v>0</v>
      </c>
      <c r="GB75" s="537">
        <f t="shared" si="30"/>
        <v>0</v>
      </c>
      <c r="GC75" s="537">
        <f t="shared" si="30"/>
        <v>0</v>
      </c>
      <c r="GD75" s="537">
        <f t="shared" si="30"/>
        <v>0</v>
      </c>
      <c r="GE75" s="537">
        <f t="shared" si="30"/>
        <v>0</v>
      </c>
      <c r="GF75" s="537">
        <f t="shared" si="30"/>
        <v>0</v>
      </c>
      <c r="GG75" s="537">
        <f t="shared" si="30"/>
        <v>0</v>
      </c>
      <c r="GH75" s="537">
        <f t="shared" si="30"/>
        <v>0</v>
      </c>
      <c r="GI75" s="537">
        <f t="shared" si="30"/>
        <v>0</v>
      </c>
      <c r="GJ75" s="537">
        <f t="shared" si="30"/>
        <v>0</v>
      </c>
    </row>
    <row r="76" spans="5:192" ht="12.75">
      <c r="E76" s="535" t="s">
        <v>64</v>
      </c>
      <c r="G76" s="537" t="s">
        <v>50</v>
      </c>
      <c r="H76" s="537">
        <f>SUM(J76:GJ76)</f>
        <v>1</v>
      </c>
      <c r="J76" s="537">
        <f t="shared" si="31" ref="J76:GJ76">I75</f>
        <v>0</v>
      </c>
      <c r="K76" s="537">
        <f t="shared" si="31"/>
        <v>0</v>
      </c>
      <c r="L76" s="537">
        <f t="shared" si="31"/>
        <v>0</v>
      </c>
      <c r="M76" s="537">
        <f t="shared" si="31"/>
        <v>0</v>
      </c>
      <c r="N76" s="537">
        <f t="shared" si="31"/>
        <v>0</v>
      </c>
      <c r="O76" s="537">
        <f t="shared" si="31"/>
        <v>0</v>
      </c>
      <c r="P76" s="537">
        <f t="shared" si="31"/>
        <v>0</v>
      </c>
      <c r="Q76" s="537">
        <f t="shared" si="31"/>
        <v>0</v>
      </c>
      <c r="R76" s="537">
        <f t="shared" si="31"/>
        <v>0</v>
      </c>
      <c r="S76" s="537">
        <f t="shared" si="31"/>
        <v>0</v>
      </c>
      <c r="T76" s="537">
        <f t="shared" si="31"/>
        <v>0</v>
      </c>
      <c r="U76" s="537">
        <f t="shared" si="31"/>
        <v>0</v>
      </c>
      <c r="V76" s="537">
        <f t="shared" si="31"/>
        <v>0</v>
      </c>
      <c r="W76" s="537">
        <f t="shared" si="31"/>
        <v>0</v>
      </c>
      <c r="X76" s="537">
        <f t="shared" si="31"/>
        <v>0</v>
      </c>
      <c r="Y76" s="537">
        <f t="shared" si="31"/>
        <v>0</v>
      </c>
      <c r="Z76" s="537">
        <f t="shared" si="31"/>
        <v>0</v>
      </c>
      <c r="AA76" s="537">
        <f t="shared" si="31"/>
        <v>0</v>
      </c>
      <c r="AB76" s="537">
        <f t="shared" si="31"/>
        <v>0</v>
      </c>
      <c r="AC76" s="537">
        <f t="shared" si="31"/>
        <v>0</v>
      </c>
      <c r="AD76" s="537">
        <f t="shared" si="31"/>
        <v>0</v>
      </c>
      <c r="AE76" s="537">
        <f t="shared" si="31"/>
        <v>0</v>
      </c>
      <c r="AF76" s="537">
        <f t="shared" si="31"/>
        <v>0</v>
      </c>
      <c r="AG76" s="537">
        <f t="shared" si="31"/>
        <v>0</v>
      </c>
      <c r="AH76" s="537">
        <f t="shared" si="31"/>
        <v>0</v>
      </c>
      <c r="AI76" s="537">
        <f t="shared" si="31"/>
        <v>0</v>
      </c>
      <c r="AJ76" s="537">
        <f t="shared" si="31"/>
        <v>0</v>
      </c>
      <c r="AK76" s="537">
        <f t="shared" si="31"/>
        <v>0</v>
      </c>
      <c r="AL76" s="537">
        <f t="shared" si="31"/>
        <v>0</v>
      </c>
      <c r="AM76" s="537">
        <f t="shared" si="31"/>
        <v>0</v>
      </c>
      <c r="AN76" s="537">
        <f t="shared" si="31"/>
        <v>1</v>
      </c>
      <c r="AO76" s="537">
        <f t="shared" si="31"/>
        <v>0</v>
      </c>
      <c r="AP76" s="537">
        <f t="shared" si="31"/>
        <v>0</v>
      </c>
      <c r="AQ76" s="537">
        <f t="shared" si="31"/>
        <v>0</v>
      </c>
      <c r="AR76" s="537">
        <f t="shared" si="31"/>
        <v>0</v>
      </c>
      <c r="AS76" s="537">
        <f t="shared" si="31"/>
        <v>0</v>
      </c>
      <c r="AT76" s="537">
        <f t="shared" si="31"/>
        <v>0</v>
      </c>
      <c r="AU76" s="537">
        <f t="shared" si="31"/>
        <v>0</v>
      </c>
      <c r="AV76" s="537">
        <f t="shared" si="31"/>
        <v>0</v>
      </c>
      <c r="AW76" s="537">
        <f t="shared" si="31"/>
        <v>0</v>
      </c>
      <c r="AX76" s="537">
        <f t="shared" si="31"/>
        <v>0</v>
      </c>
      <c r="AY76" s="537">
        <f t="shared" si="31"/>
        <v>0</v>
      </c>
      <c r="AZ76" s="537">
        <f t="shared" si="31"/>
        <v>0</v>
      </c>
      <c r="BA76" s="537">
        <f t="shared" si="31"/>
        <v>0</v>
      </c>
      <c r="BB76" s="537">
        <f t="shared" si="31"/>
        <v>0</v>
      </c>
      <c r="BC76" s="537">
        <f t="shared" si="31"/>
        <v>0</v>
      </c>
      <c r="BD76" s="537">
        <f t="shared" si="31"/>
        <v>0</v>
      </c>
      <c r="BE76" s="537">
        <f t="shared" si="31"/>
        <v>0</v>
      </c>
      <c r="BF76" s="537">
        <f t="shared" si="31"/>
        <v>0</v>
      </c>
      <c r="BG76" s="537">
        <f t="shared" si="31"/>
        <v>0</v>
      </c>
      <c r="BH76" s="537">
        <f t="shared" si="31"/>
        <v>0</v>
      </c>
      <c r="BI76" s="537">
        <f t="shared" si="31"/>
        <v>0</v>
      </c>
      <c r="BJ76" s="537">
        <f t="shared" si="31"/>
        <v>0</v>
      </c>
      <c r="BK76" s="537">
        <f t="shared" si="31"/>
        <v>0</v>
      </c>
      <c r="BL76" s="537">
        <f t="shared" si="31"/>
        <v>0</v>
      </c>
      <c r="BM76" s="537">
        <f t="shared" si="31"/>
        <v>0</v>
      </c>
      <c r="BN76" s="537">
        <f t="shared" si="31"/>
        <v>0</v>
      </c>
      <c r="BO76" s="537">
        <f t="shared" si="31"/>
        <v>0</v>
      </c>
      <c r="BP76" s="537">
        <f t="shared" si="31"/>
        <v>0</v>
      </c>
      <c r="BQ76" s="537">
        <f t="shared" si="31"/>
        <v>0</v>
      </c>
      <c r="BR76" s="537">
        <f t="shared" si="31"/>
        <v>0</v>
      </c>
      <c r="BS76" s="537">
        <f t="shared" si="31"/>
        <v>0</v>
      </c>
      <c r="BT76" s="537">
        <f t="shared" si="31"/>
        <v>0</v>
      </c>
      <c r="BU76" s="537">
        <f t="shared" si="31"/>
        <v>0</v>
      </c>
      <c r="BV76" s="537">
        <f t="shared" si="31"/>
        <v>0</v>
      </c>
      <c r="BW76" s="537">
        <f t="shared" si="31"/>
        <v>0</v>
      </c>
      <c r="BX76" s="537">
        <f t="shared" si="31"/>
        <v>0</v>
      </c>
      <c r="BY76" s="537">
        <f t="shared" si="31"/>
        <v>0</v>
      </c>
      <c r="BZ76" s="537">
        <f t="shared" si="31"/>
        <v>0</v>
      </c>
      <c r="CA76" s="537">
        <f t="shared" si="31"/>
        <v>0</v>
      </c>
      <c r="CB76" s="537">
        <f t="shared" si="31"/>
        <v>0</v>
      </c>
      <c r="CC76" s="537">
        <f t="shared" si="31"/>
        <v>0</v>
      </c>
      <c r="CD76" s="537">
        <f t="shared" si="31"/>
        <v>0</v>
      </c>
      <c r="CE76" s="537">
        <f t="shared" si="31"/>
        <v>0</v>
      </c>
      <c r="CF76" s="537">
        <f t="shared" si="31"/>
        <v>0</v>
      </c>
      <c r="CG76" s="537">
        <f t="shared" si="31"/>
        <v>0</v>
      </c>
      <c r="CH76" s="537">
        <f t="shared" si="31"/>
        <v>0</v>
      </c>
      <c r="CI76" s="537">
        <f t="shared" si="31"/>
        <v>0</v>
      </c>
      <c r="CJ76" s="537">
        <f t="shared" si="31"/>
        <v>0</v>
      </c>
      <c r="CK76" s="537">
        <f t="shared" si="31"/>
        <v>0</v>
      </c>
      <c r="CL76" s="537">
        <f t="shared" si="31"/>
        <v>0</v>
      </c>
      <c r="CM76" s="537">
        <f t="shared" si="31"/>
        <v>0</v>
      </c>
      <c r="CN76" s="537">
        <f t="shared" si="31"/>
        <v>0</v>
      </c>
      <c r="CO76" s="537">
        <f t="shared" si="31"/>
        <v>0</v>
      </c>
      <c r="CP76" s="537">
        <f t="shared" si="31"/>
        <v>0</v>
      </c>
      <c r="CQ76" s="537">
        <f t="shared" si="31"/>
        <v>0</v>
      </c>
      <c r="CR76" s="537">
        <f t="shared" si="31"/>
        <v>0</v>
      </c>
      <c r="CS76" s="537">
        <f t="shared" si="31"/>
        <v>0</v>
      </c>
      <c r="CT76" s="537">
        <f t="shared" si="31"/>
        <v>0</v>
      </c>
      <c r="CU76" s="537">
        <f t="shared" si="31"/>
        <v>0</v>
      </c>
      <c r="CV76" s="537">
        <f t="shared" si="31"/>
        <v>0</v>
      </c>
      <c r="CW76" s="537">
        <f t="shared" si="31"/>
        <v>0</v>
      </c>
      <c r="CX76" s="537">
        <f t="shared" si="31"/>
        <v>0</v>
      </c>
      <c r="CY76" s="537">
        <f t="shared" si="31"/>
        <v>0</v>
      </c>
      <c r="CZ76" s="537">
        <f t="shared" si="31"/>
        <v>0</v>
      </c>
      <c r="DA76" s="537">
        <f t="shared" si="31"/>
        <v>0</v>
      </c>
      <c r="DB76" s="537">
        <f t="shared" si="31"/>
        <v>0</v>
      </c>
      <c r="DC76" s="537">
        <f t="shared" si="31"/>
        <v>0</v>
      </c>
      <c r="DD76" s="537">
        <f t="shared" si="31"/>
        <v>0</v>
      </c>
      <c r="DE76" s="537">
        <f t="shared" si="31"/>
        <v>0</v>
      </c>
      <c r="DF76" s="537">
        <f t="shared" si="31"/>
        <v>0</v>
      </c>
      <c r="DG76" s="537">
        <f t="shared" si="31"/>
        <v>0</v>
      </c>
      <c r="DH76" s="537">
        <f t="shared" si="31"/>
        <v>0</v>
      </c>
      <c r="DI76" s="537">
        <f t="shared" si="31"/>
        <v>0</v>
      </c>
      <c r="DJ76" s="537">
        <f t="shared" si="31"/>
        <v>0</v>
      </c>
      <c r="DK76" s="537">
        <f t="shared" si="31"/>
        <v>0</v>
      </c>
      <c r="DL76" s="537">
        <f t="shared" si="31"/>
        <v>0</v>
      </c>
      <c r="DM76" s="537">
        <f t="shared" si="31"/>
        <v>0</v>
      </c>
      <c r="DN76" s="537">
        <f t="shared" si="31"/>
        <v>0</v>
      </c>
      <c r="DO76" s="537">
        <f t="shared" si="31"/>
        <v>0</v>
      </c>
      <c r="DP76" s="537">
        <f t="shared" si="31"/>
        <v>0</v>
      </c>
      <c r="DQ76" s="537">
        <f t="shared" si="31"/>
        <v>0</v>
      </c>
      <c r="DR76" s="537">
        <f t="shared" si="31"/>
        <v>0</v>
      </c>
      <c r="DS76" s="537">
        <f t="shared" si="31"/>
        <v>0</v>
      </c>
      <c r="DT76" s="537">
        <f t="shared" si="31"/>
        <v>0</v>
      </c>
      <c r="DU76" s="537">
        <f t="shared" si="31"/>
        <v>0</v>
      </c>
      <c r="DV76" s="537">
        <f t="shared" si="31"/>
        <v>0</v>
      </c>
      <c r="DW76" s="537">
        <f t="shared" si="31"/>
        <v>0</v>
      </c>
      <c r="DX76" s="537">
        <f t="shared" si="31"/>
        <v>0</v>
      </c>
      <c r="DY76" s="537">
        <f t="shared" si="31"/>
        <v>0</v>
      </c>
      <c r="DZ76" s="537">
        <f t="shared" si="31"/>
        <v>0</v>
      </c>
      <c r="EA76" s="537">
        <f t="shared" si="31"/>
        <v>0</v>
      </c>
      <c r="EB76" s="537">
        <f t="shared" si="31"/>
        <v>0</v>
      </c>
      <c r="EC76" s="537">
        <f t="shared" si="31"/>
        <v>0</v>
      </c>
      <c r="ED76" s="537">
        <f t="shared" si="31"/>
        <v>0</v>
      </c>
      <c r="EE76" s="537">
        <f t="shared" si="31"/>
        <v>0</v>
      </c>
      <c r="EF76" s="537">
        <f t="shared" si="31"/>
        <v>0</v>
      </c>
      <c r="EG76" s="537">
        <f t="shared" si="31"/>
        <v>0</v>
      </c>
      <c r="EH76" s="537">
        <f t="shared" si="31"/>
        <v>0</v>
      </c>
      <c r="EI76" s="537">
        <f t="shared" si="31"/>
        <v>0</v>
      </c>
      <c r="EJ76" s="537">
        <f t="shared" si="31"/>
        <v>0</v>
      </c>
      <c r="EK76" s="537">
        <f t="shared" si="31"/>
        <v>0</v>
      </c>
      <c r="EL76" s="537">
        <f t="shared" si="31"/>
        <v>0</v>
      </c>
      <c r="EM76" s="537">
        <f t="shared" si="31"/>
        <v>0</v>
      </c>
      <c r="EN76" s="537">
        <f t="shared" si="31"/>
        <v>0</v>
      </c>
      <c r="EO76" s="537">
        <f t="shared" si="31"/>
        <v>0</v>
      </c>
      <c r="EP76" s="537">
        <f t="shared" si="31"/>
        <v>0</v>
      </c>
      <c r="EQ76" s="537">
        <f t="shared" si="31"/>
        <v>0</v>
      </c>
      <c r="ER76" s="537">
        <f t="shared" si="31"/>
        <v>0</v>
      </c>
      <c r="ES76" s="537">
        <f t="shared" si="31"/>
        <v>0</v>
      </c>
      <c r="ET76" s="537">
        <f t="shared" si="31"/>
        <v>0</v>
      </c>
      <c r="EU76" s="537">
        <f t="shared" si="31"/>
        <v>0</v>
      </c>
      <c r="EV76" s="537">
        <f t="shared" si="31"/>
        <v>0</v>
      </c>
      <c r="EW76" s="537">
        <f t="shared" si="31"/>
        <v>0</v>
      </c>
      <c r="EX76" s="537">
        <f t="shared" si="31"/>
        <v>0</v>
      </c>
      <c r="EY76" s="537">
        <f t="shared" si="31"/>
        <v>0</v>
      </c>
      <c r="EZ76" s="537">
        <f t="shared" si="31"/>
        <v>0</v>
      </c>
      <c r="FA76" s="537">
        <f t="shared" si="31"/>
        <v>0</v>
      </c>
      <c r="FB76" s="537">
        <f t="shared" si="31"/>
        <v>0</v>
      </c>
      <c r="FC76" s="537">
        <f t="shared" si="31"/>
        <v>0</v>
      </c>
      <c r="FD76" s="537">
        <f t="shared" si="31"/>
        <v>0</v>
      </c>
      <c r="FE76" s="537">
        <f t="shared" si="31"/>
        <v>0</v>
      </c>
      <c r="FF76" s="537">
        <f t="shared" si="31"/>
        <v>0</v>
      </c>
      <c r="FG76" s="537">
        <f t="shared" si="31"/>
        <v>0</v>
      </c>
      <c r="FH76" s="537">
        <f t="shared" si="31"/>
        <v>0</v>
      </c>
      <c r="FI76" s="537">
        <f t="shared" si="31"/>
        <v>0</v>
      </c>
      <c r="FJ76" s="537">
        <f t="shared" si="31"/>
        <v>0</v>
      </c>
      <c r="FK76" s="537">
        <f t="shared" si="31"/>
        <v>0</v>
      </c>
      <c r="FL76" s="537">
        <f t="shared" si="31"/>
        <v>0</v>
      </c>
      <c r="FM76" s="537">
        <f t="shared" si="31"/>
        <v>0</v>
      </c>
      <c r="FN76" s="537">
        <f t="shared" si="31"/>
        <v>0</v>
      </c>
      <c r="FO76" s="537">
        <f t="shared" si="31"/>
        <v>0</v>
      </c>
      <c r="FP76" s="537">
        <f t="shared" si="31"/>
        <v>0</v>
      </c>
      <c r="FQ76" s="537">
        <f t="shared" si="31"/>
        <v>0</v>
      </c>
      <c r="FR76" s="537">
        <f t="shared" si="31"/>
        <v>0</v>
      </c>
      <c r="FS76" s="537">
        <f t="shared" si="31"/>
        <v>0</v>
      </c>
      <c r="FT76" s="537">
        <f t="shared" si="31"/>
        <v>0</v>
      </c>
      <c r="FU76" s="537">
        <f t="shared" si="31"/>
        <v>0</v>
      </c>
      <c r="FV76" s="537">
        <f t="shared" si="31"/>
        <v>0</v>
      </c>
      <c r="FW76" s="537">
        <f t="shared" si="31"/>
        <v>0</v>
      </c>
      <c r="FX76" s="537">
        <f t="shared" si="31"/>
        <v>0</v>
      </c>
      <c r="FY76" s="537">
        <f t="shared" si="31"/>
        <v>0</v>
      </c>
      <c r="FZ76" s="537">
        <f t="shared" si="31"/>
        <v>0</v>
      </c>
      <c r="GA76" s="537">
        <f t="shared" si="31"/>
        <v>0</v>
      </c>
      <c r="GB76" s="537">
        <f t="shared" si="31"/>
        <v>0</v>
      </c>
      <c r="GC76" s="537">
        <f t="shared" si="31"/>
        <v>0</v>
      </c>
      <c r="GD76" s="537">
        <f t="shared" si="31"/>
        <v>0</v>
      </c>
      <c r="GE76" s="537">
        <f t="shared" si="31"/>
        <v>0</v>
      </c>
      <c r="GF76" s="537">
        <f t="shared" si="31"/>
        <v>0</v>
      </c>
      <c r="GG76" s="537">
        <f t="shared" si="31"/>
        <v>0</v>
      </c>
      <c r="GH76" s="537">
        <f t="shared" si="31"/>
        <v>0</v>
      </c>
      <c r="GI76" s="537">
        <f t="shared" si="31"/>
        <v>0</v>
      </c>
      <c r="GJ76" s="537">
        <f t="shared" si="31"/>
        <v>0</v>
      </c>
    </row>
    <row r="78" spans="2:2" ht="12.75">
      <c r="B78" s="534" t="s">
        <v>65</v>
      </c>
    </row>
    <row r="79" spans="5:7" ht="12.75">
      <c r="E79" s="546" t="str">
        <f>InpC!E$21</f>
        <v>Operational period</v>
      </c>
      <c r="F79" s="548">
        <f>InpC!F$21</f>
        <v>25</v>
      </c>
      <c r="G79" s="548" t="str">
        <f>InpC!G$21</f>
        <v>years</v>
      </c>
    </row>
    <row r="80" spans="5:7" ht="12.75">
      <c r="E80" s="546" t="str">
        <f>InpC!E$26</f>
        <v>Months in year</v>
      </c>
      <c r="F80" s="548">
        <f>InpC!F$26</f>
        <v>12</v>
      </c>
      <c r="G80" s="548" t="str">
        <f>InpC!G$26</f>
        <v>months</v>
      </c>
    </row>
    <row r="81" spans="5:7" ht="12.75">
      <c r="E81" s="535" t="str">
        <f>E$21</f>
        <v>End of construction period date</v>
      </c>
      <c r="F81" s="540">
        <f>F$21</f>
        <v>46934</v>
      </c>
      <c r="G81" s="540" t="str">
        <f>G$21</f>
        <v>date</v>
      </c>
    </row>
    <row r="82" spans="5:7" ht="12.75">
      <c r="E82" s="535" t="s">
        <v>66</v>
      </c>
      <c r="F82" s="540">
        <f>EOMONTH($F81,$F79*$F80)</f>
        <v>56065</v>
      </c>
      <c r="G82" s="540" t="s">
        <v>14</v>
      </c>
    </row>
    <row r="84" spans="5:7" ht="12.75">
      <c r="E84" s="535" t="str">
        <f>E$82</f>
        <v>End of operating period</v>
      </c>
      <c r="F84" s="540">
        <f>F$82</f>
        <v>56065</v>
      </c>
      <c r="G84" s="540" t="str">
        <f>G$82</f>
        <v>date</v>
      </c>
    </row>
    <row r="85" spans="5:192" ht="12.75">
      <c r="E85" s="535" t="str">
        <f>E$50</f>
        <v>Model period ending</v>
      </c>
      <c r="G85" s="540" t="str">
        <f>G$50</f>
        <v>date</v>
      </c>
      <c r="J85" s="540">
        <f t="shared" si="32" ref="J85:GJ85">J$50</f>
        <v>46053</v>
      </c>
      <c r="K85" s="540">
        <f t="shared" si="32"/>
        <v>46081</v>
      </c>
      <c r="L85" s="540">
        <f t="shared" si="32"/>
        <v>46112</v>
      </c>
      <c r="M85" s="540">
        <f t="shared" si="32"/>
        <v>46142</v>
      </c>
      <c r="N85" s="540">
        <f t="shared" si="32"/>
        <v>46173</v>
      </c>
      <c r="O85" s="540">
        <f t="shared" si="32"/>
        <v>46203</v>
      </c>
      <c r="P85" s="540">
        <f t="shared" si="32"/>
        <v>46234</v>
      </c>
      <c r="Q85" s="540">
        <f t="shared" si="32"/>
        <v>46265</v>
      </c>
      <c r="R85" s="540">
        <f t="shared" si="32"/>
        <v>46295</v>
      </c>
      <c r="S85" s="540">
        <f t="shared" si="32"/>
        <v>46326</v>
      </c>
      <c r="T85" s="540">
        <f t="shared" si="32"/>
        <v>46356</v>
      </c>
      <c r="U85" s="540">
        <f t="shared" si="32"/>
        <v>46387</v>
      </c>
      <c r="V85" s="540">
        <f t="shared" si="32"/>
        <v>46418</v>
      </c>
      <c r="W85" s="540">
        <f t="shared" si="32"/>
        <v>46446</v>
      </c>
      <c r="X85" s="540">
        <f t="shared" si="32"/>
        <v>46477</v>
      </c>
      <c r="Y85" s="540">
        <f t="shared" si="32"/>
        <v>46507</v>
      </c>
      <c r="Z85" s="540">
        <f t="shared" si="32"/>
        <v>46538</v>
      </c>
      <c r="AA85" s="540">
        <f t="shared" si="32"/>
        <v>46568</v>
      </c>
      <c r="AB85" s="540">
        <f t="shared" si="32"/>
        <v>46599</v>
      </c>
      <c r="AC85" s="540">
        <f t="shared" si="32"/>
        <v>46630</v>
      </c>
      <c r="AD85" s="540">
        <f t="shared" si="32"/>
        <v>46660</v>
      </c>
      <c r="AE85" s="540">
        <f t="shared" si="32"/>
        <v>46691</v>
      </c>
      <c r="AF85" s="540">
        <f t="shared" si="32"/>
        <v>46721</v>
      </c>
      <c r="AG85" s="540">
        <f t="shared" si="32"/>
        <v>46752</v>
      </c>
      <c r="AH85" s="540">
        <f t="shared" si="32"/>
        <v>46783</v>
      </c>
      <c r="AI85" s="540">
        <f t="shared" si="32"/>
        <v>46812</v>
      </c>
      <c r="AJ85" s="540">
        <f t="shared" si="32"/>
        <v>46843</v>
      </c>
      <c r="AK85" s="540">
        <f t="shared" si="32"/>
        <v>46873</v>
      </c>
      <c r="AL85" s="540">
        <f t="shared" si="32"/>
        <v>46904</v>
      </c>
      <c r="AM85" s="540">
        <f t="shared" si="32"/>
        <v>46934</v>
      </c>
      <c r="AN85" s="540">
        <f t="shared" si="32"/>
        <v>47026</v>
      </c>
      <c r="AO85" s="540">
        <f t="shared" si="32"/>
        <v>47118</v>
      </c>
      <c r="AP85" s="540">
        <f t="shared" si="32"/>
        <v>47208</v>
      </c>
      <c r="AQ85" s="540">
        <f t="shared" si="32"/>
        <v>47299</v>
      </c>
      <c r="AR85" s="540">
        <f t="shared" si="32"/>
        <v>47391</v>
      </c>
      <c r="AS85" s="540">
        <f t="shared" si="32"/>
        <v>47483</v>
      </c>
      <c r="AT85" s="540">
        <f t="shared" si="32"/>
        <v>47573</v>
      </c>
      <c r="AU85" s="540">
        <f t="shared" si="32"/>
        <v>47664</v>
      </c>
      <c r="AV85" s="540">
        <f t="shared" si="32"/>
        <v>47756</v>
      </c>
      <c r="AW85" s="540">
        <f t="shared" si="32"/>
        <v>47848</v>
      </c>
      <c r="AX85" s="540">
        <f t="shared" si="32"/>
        <v>47938</v>
      </c>
      <c r="AY85" s="540">
        <f t="shared" si="32"/>
        <v>48029</v>
      </c>
      <c r="AZ85" s="540">
        <f t="shared" si="32"/>
        <v>48121</v>
      </c>
      <c r="BA85" s="540">
        <f t="shared" si="32"/>
        <v>48213</v>
      </c>
      <c r="BB85" s="540">
        <f t="shared" si="32"/>
        <v>48304</v>
      </c>
      <c r="BC85" s="540">
        <f t="shared" si="32"/>
        <v>48395</v>
      </c>
      <c r="BD85" s="540">
        <f t="shared" si="32"/>
        <v>48487</v>
      </c>
      <c r="BE85" s="540">
        <f t="shared" si="32"/>
        <v>48579</v>
      </c>
      <c r="BF85" s="540">
        <f t="shared" si="32"/>
        <v>48669</v>
      </c>
      <c r="BG85" s="540">
        <f t="shared" si="32"/>
        <v>48760</v>
      </c>
      <c r="BH85" s="540">
        <f t="shared" si="32"/>
        <v>48852</v>
      </c>
      <c r="BI85" s="540">
        <f t="shared" si="32"/>
        <v>48944</v>
      </c>
      <c r="BJ85" s="540">
        <f t="shared" si="32"/>
        <v>49034</v>
      </c>
      <c r="BK85" s="540">
        <f t="shared" si="32"/>
        <v>49125</v>
      </c>
      <c r="BL85" s="540">
        <f t="shared" si="32"/>
        <v>49217</v>
      </c>
      <c r="BM85" s="540">
        <f t="shared" si="32"/>
        <v>49309</v>
      </c>
      <c r="BN85" s="540">
        <f t="shared" si="32"/>
        <v>49399</v>
      </c>
      <c r="BO85" s="540">
        <f t="shared" si="32"/>
        <v>49490</v>
      </c>
      <c r="BP85" s="540">
        <f t="shared" si="32"/>
        <v>49582</v>
      </c>
      <c r="BQ85" s="540">
        <f t="shared" si="32"/>
        <v>49674</v>
      </c>
      <c r="BR85" s="540">
        <f t="shared" si="32"/>
        <v>49765</v>
      </c>
      <c r="BS85" s="540">
        <f t="shared" si="32"/>
        <v>49856</v>
      </c>
      <c r="BT85" s="540">
        <f t="shared" si="32"/>
        <v>49948</v>
      </c>
      <c r="BU85" s="540">
        <f t="shared" si="32"/>
        <v>50040</v>
      </c>
      <c r="BV85" s="540">
        <f t="shared" si="32"/>
        <v>50130</v>
      </c>
      <c r="BW85" s="540">
        <f t="shared" si="32"/>
        <v>50221</v>
      </c>
      <c r="BX85" s="540">
        <f t="shared" si="32"/>
        <v>50313</v>
      </c>
      <c r="BY85" s="540">
        <f t="shared" si="32"/>
        <v>50405</v>
      </c>
      <c r="BZ85" s="540">
        <f t="shared" si="32"/>
        <v>50495</v>
      </c>
      <c r="CA85" s="540">
        <f t="shared" si="32"/>
        <v>50586</v>
      </c>
      <c r="CB85" s="540">
        <f t="shared" si="32"/>
        <v>50678</v>
      </c>
      <c r="CC85" s="540">
        <f t="shared" si="32"/>
        <v>50770</v>
      </c>
      <c r="CD85" s="540">
        <f t="shared" si="32"/>
        <v>50860</v>
      </c>
      <c r="CE85" s="540">
        <f t="shared" si="32"/>
        <v>50951</v>
      </c>
      <c r="CF85" s="540">
        <f t="shared" si="32"/>
        <v>51043</v>
      </c>
      <c r="CG85" s="540">
        <f t="shared" si="32"/>
        <v>51135</v>
      </c>
      <c r="CH85" s="540">
        <f t="shared" si="32"/>
        <v>51226</v>
      </c>
      <c r="CI85" s="540">
        <f t="shared" si="32"/>
        <v>51317</v>
      </c>
      <c r="CJ85" s="540">
        <f t="shared" si="32"/>
        <v>51409</v>
      </c>
      <c r="CK85" s="540">
        <f t="shared" si="32"/>
        <v>51501</v>
      </c>
      <c r="CL85" s="540">
        <f t="shared" si="32"/>
        <v>51591</v>
      </c>
      <c r="CM85" s="540">
        <f t="shared" si="32"/>
        <v>51682</v>
      </c>
      <c r="CN85" s="540">
        <f t="shared" si="32"/>
        <v>51774</v>
      </c>
      <c r="CO85" s="540">
        <f t="shared" si="32"/>
        <v>51866</v>
      </c>
      <c r="CP85" s="540">
        <f t="shared" si="32"/>
        <v>51956</v>
      </c>
      <c r="CQ85" s="540">
        <f t="shared" si="32"/>
        <v>52047</v>
      </c>
      <c r="CR85" s="540">
        <f t="shared" si="32"/>
        <v>52139</v>
      </c>
      <c r="CS85" s="540">
        <f t="shared" si="32"/>
        <v>52231</v>
      </c>
      <c r="CT85" s="540">
        <f t="shared" si="32"/>
        <v>52321</v>
      </c>
      <c r="CU85" s="540">
        <f t="shared" si="32"/>
        <v>52412</v>
      </c>
      <c r="CV85" s="540">
        <f t="shared" si="32"/>
        <v>52504</v>
      </c>
      <c r="CW85" s="540">
        <f t="shared" si="32"/>
        <v>52596</v>
      </c>
      <c r="CX85" s="540">
        <f t="shared" si="32"/>
        <v>52687</v>
      </c>
      <c r="CY85" s="540">
        <f t="shared" si="32"/>
        <v>52778</v>
      </c>
      <c r="CZ85" s="540">
        <f t="shared" si="32"/>
        <v>52870</v>
      </c>
      <c r="DA85" s="540">
        <f t="shared" si="32"/>
        <v>52962</v>
      </c>
      <c r="DB85" s="540">
        <f t="shared" si="32"/>
        <v>53052</v>
      </c>
      <c r="DC85" s="540">
        <f t="shared" si="32"/>
        <v>53143</v>
      </c>
      <c r="DD85" s="540">
        <f t="shared" si="32"/>
        <v>53235</v>
      </c>
      <c r="DE85" s="540">
        <f t="shared" si="32"/>
        <v>53327</v>
      </c>
      <c r="DF85" s="540">
        <f t="shared" si="32"/>
        <v>53417</v>
      </c>
      <c r="DG85" s="540">
        <f t="shared" si="32"/>
        <v>53508</v>
      </c>
      <c r="DH85" s="540">
        <f t="shared" si="32"/>
        <v>53600</v>
      </c>
      <c r="DI85" s="540">
        <f t="shared" si="32"/>
        <v>53692</v>
      </c>
      <c r="DJ85" s="540">
        <f t="shared" si="32"/>
        <v>53782</v>
      </c>
      <c r="DK85" s="540">
        <f t="shared" si="32"/>
        <v>53873</v>
      </c>
      <c r="DL85" s="540">
        <f t="shared" si="32"/>
        <v>53965</v>
      </c>
      <c r="DM85" s="540">
        <f t="shared" si="32"/>
        <v>54057</v>
      </c>
      <c r="DN85" s="540">
        <f t="shared" si="32"/>
        <v>54148</v>
      </c>
      <c r="DO85" s="540">
        <f t="shared" si="32"/>
        <v>54239</v>
      </c>
      <c r="DP85" s="540">
        <f t="shared" si="32"/>
        <v>54331</v>
      </c>
      <c r="DQ85" s="540">
        <f t="shared" si="32"/>
        <v>54423</v>
      </c>
      <c r="DR85" s="540">
        <f t="shared" si="32"/>
        <v>54513</v>
      </c>
      <c r="DS85" s="540">
        <f t="shared" si="32"/>
        <v>54604</v>
      </c>
      <c r="DT85" s="540">
        <f t="shared" si="32"/>
        <v>54696</v>
      </c>
      <c r="DU85" s="540">
        <f t="shared" si="32"/>
        <v>54788</v>
      </c>
      <c r="DV85" s="540">
        <f t="shared" si="32"/>
        <v>54878</v>
      </c>
      <c r="DW85" s="540">
        <f t="shared" si="32"/>
        <v>54969</v>
      </c>
      <c r="DX85" s="540">
        <f t="shared" si="32"/>
        <v>55061</v>
      </c>
      <c r="DY85" s="540">
        <f t="shared" si="32"/>
        <v>55153</v>
      </c>
      <c r="DZ85" s="540">
        <f t="shared" si="32"/>
        <v>55243</v>
      </c>
      <c r="EA85" s="540">
        <f t="shared" si="32"/>
        <v>55334</v>
      </c>
      <c r="EB85" s="540">
        <f t="shared" si="32"/>
        <v>55426</v>
      </c>
      <c r="EC85" s="540">
        <f t="shared" si="32"/>
        <v>55518</v>
      </c>
      <c r="ED85" s="540">
        <f t="shared" si="32"/>
        <v>55609</v>
      </c>
      <c r="EE85" s="540">
        <f t="shared" si="32"/>
        <v>55700</v>
      </c>
      <c r="EF85" s="540">
        <f t="shared" si="32"/>
        <v>55792</v>
      </c>
      <c r="EG85" s="540">
        <f t="shared" si="32"/>
        <v>55884</v>
      </c>
      <c r="EH85" s="540">
        <f t="shared" si="32"/>
        <v>55974</v>
      </c>
      <c r="EI85" s="540">
        <f t="shared" si="32"/>
        <v>56065</v>
      </c>
      <c r="EJ85" s="540">
        <f t="shared" si="32"/>
        <v>56157</v>
      </c>
      <c r="EK85" s="540">
        <f t="shared" si="32"/>
        <v>56249</v>
      </c>
      <c r="EL85" s="540">
        <f t="shared" si="32"/>
        <v>56339</v>
      </c>
      <c r="EM85" s="540">
        <f t="shared" si="32"/>
        <v>56430</v>
      </c>
      <c r="EN85" s="540">
        <f t="shared" si="32"/>
        <v>56522</v>
      </c>
      <c r="EO85" s="540">
        <f t="shared" si="32"/>
        <v>56614</v>
      </c>
      <c r="EP85" s="540">
        <f t="shared" si="32"/>
        <v>56704</v>
      </c>
      <c r="EQ85" s="540">
        <f t="shared" si="32"/>
        <v>56795</v>
      </c>
      <c r="ER85" s="540">
        <f t="shared" si="32"/>
        <v>56887</v>
      </c>
      <c r="ES85" s="540">
        <f t="shared" si="32"/>
        <v>56979</v>
      </c>
      <c r="ET85" s="540">
        <f t="shared" si="32"/>
        <v>57070</v>
      </c>
      <c r="EU85" s="540">
        <f t="shared" si="32"/>
        <v>57161</v>
      </c>
      <c r="EV85" s="540">
        <f t="shared" si="32"/>
        <v>57253</v>
      </c>
      <c r="EW85" s="540">
        <f t="shared" si="32"/>
        <v>57345</v>
      </c>
      <c r="EX85" s="540">
        <f t="shared" si="32"/>
        <v>57435</v>
      </c>
      <c r="EY85" s="540">
        <f t="shared" si="32"/>
        <v>57526</v>
      </c>
      <c r="EZ85" s="540">
        <f t="shared" si="32"/>
        <v>57618</v>
      </c>
      <c r="FA85" s="540">
        <f t="shared" si="32"/>
        <v>57710</v>
      </c>
      <c r="FB85" s="540">
        <f t="shared" si="32"/>
        <v>57800</v>
      </c>
      <c r="FC85" s="540">
        <f t="shared" si="32"/>
        <v>57891</v>
      </c>
      <c r="FD85" s="540">
        <f t="shared" si="32"/>
        <v>57983</v>
      </c>
      <c r="FE85" s="540">
        <f t="shared" si="32"/>
        <v>58075</v>
      </c>
      <c r="FF85" s="540">
        <f t="shared" si="32"/>
        <v>58165</v>
      </c>
      <c r="FG85" s="540">
        <f t="shared" si="32"/>
        <v>58256</v>
      </c>
      <c r="FH85" s="540">
        <f t="shared" si="32"/>
        <v>58348</v>
      </c>
      <c r="FI85" s="540">
        <f t="shared" si="32"/>
        <v>58440</v>
      </c>
      <c r="FJ85" s="540">
        <f t="shared" si="32"/>
        <v>58531</v>
      </c>
      <c r="FK85" s="540">
        <f t="shared" si="32"/>
        <v>58622</v>
      </c>
      <c r="FL85" s="540">
        <f t="shared" si="32"/>
        <v>58714</v>
      </c>
      <c r="FM85" s="540">
        <f t="shared" si="32"/>
        <v>58806</v>
      </c>
      <c r="FN85" s="540">
        <f t="shared" si="32"/>
        <v>58896</v>
      </c>
      <c r="FO85" s="540">
        <f t="shared" si="32"/>
        <v>58987</v>
      </c>
      <c r="FP85" s="540">
        <f t="shared" si="32"/>
        <v>59079</v>
      </c>
      <c r="FQ85" s="540">
        <f t="shared" si="32"/>
        <v>59171</v>
      </c>
      <c r="FR85" s="540">
        <f t="shared" si="32"/>
        <v>59261</v>
      </c>
      <c r="FS85" s="540">
        <f t="shared" si="32"/>
        <v>59352</v>
      </c>
      <c r="FT85" s="540">
        <f t="shared" si="32"/>
        <v>59444</v>
      </c>
      <c r="FU85" s="540">
        <f t="shared" si="32"/>
        <v>59536</v>
      </c>
      <c r="FV85" s="540">
        <f t="shared" si="32"/>
        <v>59626</v>
      </c>
      <c r="FW85" s="540">
        <f t="shared" si="32"/>
        <v>59717</v>
      </c>
      <c r="FX85" s="540">
        <f t="shared" si="32"/>
        <v>59809</v>
      </c>
      <c r="FY85" s="540">
        <f t="shared" si="32"/>
        <v>59901</v>
      </c>
      <c r="FZ85" s="540">
        <f t="shared" si="32"/>
        <v>59992</v>
      </c>
      <c r="GA85" s="540">
        <f t="shared" si="32"/>
        <v>60083</v>
      </c>
      <c r="GB85" s="540">
        <f t="shared" si="32"/>
        <v>60175</v>
      </c>
      <c r="GC85" s="540">
        <f t="shared" si="32"/>
        <v>60267</v>
      </c>
      <c r="GD85" s="540">
        <f t="shared" si="32"/>
        <v>60357</v>
      </c>
      <c r="GE85" s="540">
        <f t="shared" si="32"/>
        <v>60448</v>
      </c>
      <c r="GF85" s="540">
        <f t="shared" si="32"/>
        <v>60540</v>
      </c>
      <c r="GG85" s="540">
        <f t="shared" si="32"/>
        <v>60632</v>
      </c>
      <c r="GH85" s="540">
        <f t="shared" si="32"/>
        <v>60722</v>
      </c>
      <c r="GI85" s="540">
        <f t="shared" si="32"/>
        <v>60813</v>
      </c>
      <c r="GJ85" s="540">
        <f t="shared" si="32"/>
        <v>60905</v>
      </c>
    </row>
    <row r="86" spans="5:192" ht="12.75">
      <c r="E86" s="535" t="s">
        <v>65</v>
      </c>
      <c r="G86" s="537" t="s">
        <v>50</v>
      </c>
      <c r="H86" s="537">
        <f>SUM(J86:GJ86)</f>
        <v>1</v>
      </c>
      <c r="J86" s="537">
        <f t="shared" si="33" ref="J86:GJ86">IF(J85=$F84,1,0)</f>
        <v>0</v>
      </c>
      <c r="K86" s="537">
        <f t="shared" si="33"/>
        <v>0</v>
      </c>
      <c r="L86" s="537">
        <f t="shared" si="33"/>
        <v>0</v>
      </c>
      <c r="M86" s="537">
        <f t="shared" si="33"/>
        <v>0</v>
      </c>
      <c r="N86" s="537">
        <f t="shared" si="33"/>
        <v>0</v>
      </c>
      <c r="O86" s="537">
        <f t="shared" si="33"/>
        <v>0</v>
      </c>
      <c r="P86" s="537">
        <f t="shared" si="33"/>
        <v>0</v>
      </c>
      <c r="Q86" s="537">
        <f t="shared" si="33"/>
        <v>0</v>
      </c>
      <c r="R86" s="537">
        <f t="shared" si="33"/>
        <v>0</v>
      </c>
      <c r="S86" s="537">
        <f t="shared" si="33"/>
        <v>0</v>
      </c>
      <c r="T86" s="537">
        <f t="shared" si="33"/>
        <v>0</v>
      </c>
      <c r="U86" s="537">
        <f t="shared" si="33"/>
        <v>0</v>
      </c>
      <c r="V86" s="537">
        <f t="shared" si="33"/>
        <v>0</v>
      </c>
      <c r="W86" s="537">
        <f t="shared" si="33"/>
        <v>0</v>
      </c>
      <c r="X86" s="537">
        <f t="shared" si="33"/>
        <v>0</v>
      </c>
      <c r="Y86" s="537">
        <f t="shared" si="33"/>
        <v>0</v>
      </c>
      <c r="Z86" s="537">
        <f t="shared" si="33"/>
        <v>0</v>
      </c>
      <c r="AA86" s="537">
        <f t="shared" si="33"/>
        <v>0</v>
      </c>
      <c r="AB86" s="537">
        <f t="shared" si="33"/>
        <v>0</v>
      </c>
      <c r="AC86" s="537">
        <f t="shared" si="33"/>
        <v>0</v>
      </c>
      <c r="AD86" s="537">
        <f t="shared" si="33"/>
        <v>0</v>
      </c>
      <c r="AE86" s="537">
        <f t="shared" si="33"/>
        <v>0</v>
      </c>
      <c r="AF86" s="537">
        <f t="shared" si="33"/>
        <v>0</v>
      </c>
      <c r="AG86" s="537">
        <f t="shared" si="33"/>
        <v>0</v>
      </c>
      <c r="AH86" s="537">
        <f t="shared" si="33"/>
        <v>0</v>
      </c>
      <c r="AI86" s="537">
        <f t="shared" si="33"/>
        <v>0</v>
      </c>
      <c r="AJ86" s="537">
        <f t="shared" si="33"/>
        <v>0</v>
      </c>
      <c r="AK86" s="537">
        <f t="shared" si="33"/>
        <v>0</v>
      </c>
      <c r="AL86" s="537">
        <f t="shared" si="33"/>
        <v>0</v>
      </c>
      <c r="AM86" s="537">
        <f t="shared" si="33"/>
        <v>0</v>
      </c>
      <c r="AN86" s="537">
        <f t="shared" si="33"/>
        <v>0</v>
      </c>
      <c r="AO86" s="537">
        <f t="shared" si="33"/>
        <v>0</v>
      </c>
      <c r="AP86" s="537">
        <f t="shared" si="33"/>
        <v>0</v>
      </c>
      <c r="AQ86" s="537">
        <f t="shared" si="33"/>
        <v>0</v>
      </c>
      <c r="AR86" s="537">
        <f t="shared" si="33"/>
        <v>0</v>
      </c>
      <c r="AS86" s="537">
        <f t="shared" si="33"/>
        <v>0</v>
      </c>
      <c r="AT86" s="537">
        <f t="shared" si="33"/>
        <v>0</v>
      </c>
      <c r="AU86" s="537">
        <f t="shared" si="33"/>
        <v>0</v>
      </c>
      <c r="AV86" s="537">
        <f t="shared" si="33"/>
        <v>0</v>
      </c>
      <c r="AW86" s="537">
        <f t="shared" si="33"/>
        <v>0</v>
      </c>
      <c r="AX86" s="537">
        <f t="shared" si="33"/>
        <v>0</v>
      </c>
      <c r="AY86" s="537">
        <f t="shared" si="33"/>
        <v>0</v>
      </c>
      <c r="AZ86" s="537">
        <f t="shared" si="33"/>
        <v>0</v>
      </c>
      <c r="BA86" s="537">
        <f t="shared" si="33"/>
        <v>0</v>
      </c>
      <c r="BB86" s="537">
        <f t="shared" si="33"/>
        <v>0</v>
      </c>
      <c r="BC86" s="537">
        <f t="shared" si="33"/>
        <v>0</v>
      </c>
      <c r="BD86" s="537">
        <f t="shared" si="33"/>
        <v>0</v>
      </c>
      <c r="BE86" s="537">
        <f t="shared" si="33"/>
        <v>0</v>
      </c>
      <c r="BF86" s="537">
        <f t="shared" si="33"/>
        <v>0</v>
      </c>
      <c r="BG86" s="537">
        <f t="shared" si="33"/>
        <v>0</v>
      </c>
      <c r="BH86" s="537">
        <f t="shared" si="33"/>
        <v>0</v>
      </c>
      <c r="BI86" s="537">
        <f t="shared" si="33"/>
        <v>0</v>
      </c>
      <c r="BJ86" s="537">
        <f t="shared" si="33"/>
        <v>0</v>
      </c>
      <c r="BK86" s="537">
        <f t="shared" si="33"/>
        <v>0</v>
      </c>
      <c r="BL86" s="537">
        <f t="shared" si="33"/>
        <v>0</v>
      </c>
      <c r="BM86" s="537">
        <f t="shared" si="33"/>
        <v>0</v>
      </c>
      <c r="BN86" s="537">
        <f t="shared" si="33"/>
        <v>0</v>
      </c>
      <c r="BO86" s="537">
        <f t="shared" si="33"/>
        <v>0</v>
      </c>
      <c r="BP86" s="537">
        <f t="shared" si="33"/>
        <v>0</v>
      </c>
      <c r="BQ86" s="537">
        <f t="shared" si="33"/>
        <v>0</v>
      </c>
      <c r="BR86" s="537">
        <f t="shared" si="33"/>
        <v>0</v>
      </c>
      <c r="BS86" s="537">
        <f t="shared" si="33"/>
        <v>0</v>
      </c>
      <c r="BT86" s="537">
        <f t="shared" si="33"/>
        <v>0</v>
      </c>
      <c r="BU86" s="537">
        <f t="shared" si="33"/>
        <v>0</v>
      </c>
      <c r="BV86" s="537">
        <f t="shared" si="33"/>
        <v>0</v>
      </c>
      <c r="BW86" s="537">
        <f t="shared" si="33"/>
        <v>0</v>
      </c>
      <c r="BX86" s="537">
        <f t="shared" si="33"/>
        <v>0</v>
      </c>
      <c r="BY86" s="537">
        <f t="shared" si="33"/>
        <v>0</v>
      </c>
      <c r="BZ86" s="537">
        <f t="shared" si="33"/>
        <v>0</v>
      </c>
      <c r="CA86" s="537">
        <f t="shared" si="33"/>
        <v>0</v>
      </c>
      <c r="CB86" s="537">
        <f t="shared" si="33"/>
        <v>0</v>
      </c>
      <c r="CC86" s="537">
        <f t="shared" si="33"/>
        <v>0</v>
      </c>
      <c r="CD86" s="537">
        <f t="shared" si="33"/>
        <v>0</v>
      </c>
      <c r="CE86" s="537">
        <f t="shared" si="33"/>
        <v>0</v>
      </c>
      <c r="CF86" s="537">
        <f t="shared" si="33"/>
        <v>0</v>
      </c>
      <c r="CG86" s="537">
        <f t="shared" si="33"/>
        <v>0</v>
      </c>
      <c r="CH86" s="537">
        <f t="shared" si="33"/>
        <v>0</v>
      </c>
      <c r="CI86" s="537">
        <f t="shared" si="33"/>
        <v>0</v>
      </c>
      <c r="CJ86" s="537">
        <f t="shared" si="33"/>
        <v>0</v>
      </c>
      <c r="CK86" s="537">
        <f t="shared" si="33"/>
        <v>0</v>
      </c>
      <c r="CL86" s="537">
        <f t="shared" si="33"/>
        <v>0</v>
      </c>
      <c r="CM86" s="537">
        <f t="shared" si="33"/>
        <v>0</v>
      </c>
      <c r="CN86" s="537">
        <f t="shared" si="33"/>
        <v>0</v>
      </c>
      <c r="CO86" s="537">
        <f t="shared" si="33"/>
        <v>0</v>
      </c>
      <c r="CP86" s="537">
        <f t="shared" si="33"/>
        <v>0</v>
      </c>
      <c r="CQ86" s="537">
        <f t="shared" si="33"/>
        <v>0</v>
      </c>
      <c r="CR86" s="537">
        <f t="shared" si="33"/>
        <v>0</v>
      </c>
      <c r="CS86" s="537">
        <f t="shared" si="33"/>
        <v>0</v>
      </c>
      <c r="CT86" s="537">
        <f t="shared" si="33"/>
        <v>0</v>
      </c>
      <c r="CU86" s="537">
        <f t="shared" si="33"/>
        <v>0</v>
      </c>
      <c r="CV86" s="537">
        <f t="shared" si="33"/>
        <v>0</v>
      </c>
      <c r="CW86" s="537">
        <f t="shared" si="33"/>
        <v>0</v>
      </c>
      <c r="CX86" s="537">
        <f t="shared" si="33"/>
        <v>0</v>
      </c>
      <c r="CY86" s="537">
        <f t="shared" si="33"/>
        <v>0</v>
      </c>
      <c r="CZ86" s="537">
        <f t="shared" si="33"/>
        <v>0</v>
      </c>
      <c r="DA86" s="537">
        <f t="shared" si="33"/>
        <v>0</v>
      </c>
      <c r="DB86" s="537">
        <f t="shared" si="33"/>
        <v>0</v>
      </c>
      <c r="DC86" s="537">
        <f t="shared" si="33"/>
        <v>0</v>
      </c>
      <c r="DD86" s="537">
        <f t="shared" si="33"/>
        <v>0</v>
      </c>
      <c r="DE86" s="537">
        <f t="shared" si="33"/>
        <v>0</v>
      </c>
      <c r="DF86" s="537">
        <f t="shared" si="33"/>
        <v>0</v>
      </c>
      <c r="DG86" s="537">
        <f t="shared" si="33"/>
        <v>0</v>
      </c>
      <c r="DH86" s="537">
        <f t="shared" si="33"/>
        <v>0</v>
      </c>
      <c r="DI86" s="537">
        <f t="shared" si="33"/>
        <v>0</v>
      </c>
      <c r="DJ86" s="537">
        <f t="shared" si="33"/>
        <v>0</v>
      </c>
      <c r="DK86" s="537">
        <f t="shared" si="33"/>
        <v>0</v>
      </c>
      <c r="DL86" s="537">
        <f t="shared" si="33"/>
        <v>0</v>
      </c>
      <c r="DM86" s="537">
        <f t="shared" si="33"/>
        <v>0</v>
      </c>
      <c r="DN86" s="537">
        <f t="shared" si="33"/>
        <v>0</v>
      </c>
      <c r="DO86" s="537">
        <f t="shared" si="33"/>
        <v>0</v>
      </c>
      <c r="DP86" s="537">
        <f t="shared" si="33"/>
        <v>0</v>
      </c>
      <c r="DQ86" s="537">
        <f t="shared" si="33"/>
        <v>0</v>
      </c>
      <c r="DR86" s="537">
        <f t="shared" si="33"/>
        <v>0</v>
      </c>
      <c r="DS86" s="537">
        <f t="shared" si="33"/>
        <v>0</v>
      </c>
      <c r="DT86" s="537">
        <f t="shared" si="33"/>
        <v>0</v>
      </c>
      <c r="DU86" s="537">
        <f t="shared" si="33"/>
        <v>0</v>
      </c>
      <c r="DV86" s="537">
        <f t="shared" si="33"/>
        <v>0</v>
      </c>
      <c r="DW86" s="537">
        <f t="shared" si="33"/>
        <v>0</v>
      </c>
      <c r="DX86" s="537">
        <f t="shared" si="33"/>
        <v>0</v>
      </c>
      <c r="DY86" s="537">
        <f t="shared" si="33"/>
        <v>0</v>
      </c>
      <c r="DZ86" s="537">
        <f t="shared" si="33"/>
        <v>0</v>
      </c>
      <c r="EA86" s="537">
        <f t="shared" si="33"/>
        <v>0</v>
      </c>
      <c r="EB86" s="537">
        <f t="shared" si="33"/>
        <v>0</v>
      </c>
      <c r="EC86" s="537">
        <f t="shared" si="33"/>
        <v>0</v>
      </c>
      <c r="ED86" s="537">
        <f t="shared" si="33"/>
        <v>0</v>
      </c>
      <c r="EE86" s="537">
        <f t="shared" si="33"/>
        <v>0</v>
      </c>
      <c r="EF86" s="537">
        <f t="shared" si="33"/>
        <v>0</v>
      </c>
      <c r="EG86" s="537">
        <f t="shared" si="33"/>
        <v>0</v>
      </c>
      <c r="EH86" s="537">
        <f t="shared" si="33"/>
        <v>0</v>
      </c>
      <c r="EI86" s="537">
        <f t="shared" si="33"/>
        <v>1</v>
      </c>
      <c r="EJ86" s="537">
        <f t="shared" si="33"/>
        <v>0</v>
      </c>
      <c r="EK86" s="537">
        <f t="shared" si="33"/>
        <v>0</v>
      </c>
      <c r="EL86" s="537">
        <f t="shared" si="33"/>
        <v>0</v>
      </c>
      <c r="EM86" s="537">
        <f t="shared" si="33"/>
        <v>0</v>
      </c>
      <c r="EN86" s="537">
        <f t="shared" si="33"/>
        <v>0</v>
      </c>
      <c r="EO86" s="537">
        <f t="shared" si="33"/>
        <v>0</v>
      </c>
      <c r="EP86" s="537">
        <f t="shared" si="33"/>
        <v>0</v>
      </c>
      <c r="EQ86" s="537">
        <f t="shared" si="33"/>
        <v>0</v>
      </c>
      <c r="ER86" s="537">
        <f t="shared" si="33"/>
        <v>0</v>
      </c>
      <c r="ES86" s="537">
        <f t="shared" si="33"/>
        <v>0</v>
      </c>
      <c r="ET86" s="537">
        <f t="shared" si="33"/>
        <v>0</v>
      </c>
      <c r="EU86" s="537">
        <f t="shared" si="33"/>
        <v>0</v>
      </c>
      <c r="EV86" s="537">
        <f t="shared" si="33"/>
        <v>0</v>
      </c>
      <c r="EW86" s="537">
        <f t="shared" si="33"/>
        <v>0</v>
      </c>
      <c r="EX86" s="537">
        <f t="shared" si="33"/>
        <v>0</v>
      </c>
      <c r="EY86" s="537">
        <f t="shared" si="33"/>
        <v>0</v>
      </c>
      <c r="EZ86" s="537">
        <f t="shared" si="33"/>
        <v>0</v>
      </c>
      <c r="FA86" s="537">
        <f t="shared" si="33"/>
        <v>0</v>
      </c>
      <c r="FB86" s="537">
        <f t="shared" si="33"/>
        <v>0</v>
      </c>
      <c r="FC86" s="537">
        <f t="shared" si="33"/>
        <v>0</v>
      </c>
      <c r="FD86" s="537">
        <f t="shared" si="33"/>
        <v>0</v>
      </c>
      <c r="FE86" s="537">
        <f t="shared" si="33"/>
        <v>0</v>
      </c>
      <c r="FF86" s="537">
        <f t="shared" si="33"/>
        <v>0</v>
      </c>
      <c r="FG86" s="537">
        <f t="shared" si="33"/>
        <v>0</v>
      </c>
      <c r="FH86" s="537">
        <f t="shared" si="33"/>
        <v>0</v>
      </c>
      <c r="FI86" s="537">
        <f t="shared" si="33"/>
        <v>0</v>
      </c>
      <c r="FJ86" s="537">
        <f t="shared" si="33"/>
        <v>0</v>
      </c>
      <c r="FK86" s="537">
        <f t="shared" si="33"/>
        <v>0</v>
      </c>
      <c r="FL86" s="537">
        <f t="shared" si="33"/>
        <v>0</v>
      </c>
      <c r="FM86" s="537">
        <f t="shared" si="33"/>
        <v>0</v>
      </c>
      <c r="FN86" s="537">
        <f t="shared" si="33"/>
        <v>0</v>
      </c>
      <c r="FO86" s="537">
        <f t="shared" si="33"/>
        <v>0</v>
      </c>
      <c r="FP86" s="537">
        <f t="shared" si="33"/>
        <v>0</v>
      </c>
      <c r="FQ86" s="537">
        <f t="shared" si="33"/>
        <v>0</v>
      </c>
      <c r="FR86" s="537">
        <f t="shared" si="33"/>
        <v>0</v>
      </c>
      <c r="FS86" s="537">
        <f t="shared" si="33"/>
        <v>0</v>
      </c>
      <c r="FT86" s="537">
        <f t="shared" si="33"/>
        <v>0</v>
      </c>
      <c r="FU86" s="537">
        <f t="shared" si="33"/>
        <v>0</v>
      </c>
      <c r="FV86" s="537">
        <f t="shared" si="33"/>
        <v>0</v>
      </c>
      <c r="FW86" s="537">
        <f t="shared" si="33"/>
        <v>0</v>
      </c>
      <c r="FX86" s="537">
        <f t="shared" si="33"/>
        <v>0</v>
      </c>
      <c r="FY86" s="537">
        <f t="shared" si="33"/>
        <v>0</v>
      </c>
      <c r="FZ86" s="537">
        <f t="shared" si="33"/>
        <v>0</v>
      </c>
      <c r="GA86" s="537">
        <f t="shared" si="33"/>
        <v>0</v>
      </c>
      <c r="GB86" s="537">
        <f t="shared" si="33"/>
        <v>0</v>
      </c>
      <c r="GC86" s="537">
        <f t="shared" si="33"/>
        <v>0</v>
      </c>
      <c r="GD86" s="537">
        <f t="shared" si="33"/>
        <v>0</v>
      </c>
      <c r="GE86" s="537">
        <f t="shared" si="33"/>
        <v>0</v>
      </c>
      <c r="GF86" s="537">
        <f t="shared" si="33"/>
        <v>0</v>
      </c>
      <c r="GG86" s="537">
        <f t="shared" si="33"/>
        <v>0</v>
      </c>
      <c r="GH86" s="537">
        <f t="shared" si="33"/>
        <v>0</v>
      </c>
      <c r="GI86" s="537">
        <f t="shared" si="33"/>
        <v>0</v>
      </c>
      <c r="GJ86" s="537">
        <f t="shared" si="33"/>
        <v>0</v>
      </c>
    </row>
    <row r="88" spans="2:2" ht="12.75">
      <c r="B88" s="534" t="s">
        <v>67</v>
      </c>
    </row>
    <row r="89" spans="5:192" ht="12.75">
      <c r="E89" s="535" t="str">
        <f>E$76</f>
        <v>First operating period flag</v>
      </c>
      <c r="G89" s="537" t="str">
        <f>G$76</f>
        <v>flag</v>
      </c>
      <c r="H89" s="537">
        <f>H$76</f>
        <v>1</v>
      </c>
      <c r="J89" s="537">
        <f t="shared" si="34" ref="J89:GJ89">J$76</f>
        <v>0</v>
      </c>
      <c r="K89" s="537">
        <f t="shared" si="34"/>
        <v>0</v>
      </c>
      <c r="L89" s="537">
        <f t="shared" si="34"/>
        <v>0</v>
      </c>
      <c r="M89" s="537">
        <f t="shared" si="34"/>
        <v>0</v>
      </c>
      <c r="N89" s="537">
        <f t="shared" si="34"/>
        <v>0</v>
      </c>
      <c r="O89" s="537">
        <f t="shared" si="34"/>
        <v>0</v>
      </c>
      <c r="P89" s="537">
        <f t="shared" si="34"/>
        <v>0</v>
      </c>
      <c r="Q89" s="537">
        <f t="shared" si="34"/>
        <v>0</v>
      </c>
      <c r="R89" s="537">
        <f t="shared" si="34"/>
        <v>0</v>
      </c>
      <c r="S89" s="537">
        <f t="shared" si="34"/>
        <v>0</v>
      </c>
      <c r="T89" s="537">
        <f t="shared" si="34"/>
        <v>0</v>
      </c>
      <c r="U89" s="537">
        <f t="shared" si="34"/>
        <v>0</v>
      </c>
      <c r="V89" s="537">
        <f t="shared" si="34"/>
        <v>0</v>
      </c>
      <c r="W89" s="537">
        <f t="shared" si="34"/>
        <v>0</v>
      </c>
      <c r="X89" s="537">
        <f t="shared" si="34"/>
        <v>0</v>
      </c>
      <c r="Y89" s="537">
        <f t="shared" si="34"/>
        <v>0</v>
      </c>
      <c r="Z89" s="537">
        <f t="shared" si="34"/>
        <v>0</v>
      </c>
      <c r="AA89" s="537">
        <f t="shared" si="34"/>
        <v>0</v>
      </c>
      <c r="AB89" s="537">
        <f t="shared" si="34"/>
        <v>0</v>
      </c>
      <c r="AC89" s="537">
        <f t="shared" si="34"/>
        <v>0</v>
      </c>
      <c r="AD89" s="537">
        <f t="shared" si="34"/>
        <v>0</v>
      </c>
      <c r="AE89" s="537">
        <f t="shared" si="34"/>
        <v>0</v>
      </c>
      <c r="AF89" s="537">
        <f t="shared" si="34"/>
        <v>0</v>
      </c>
      <c r="AG89" s="537">
        <f t="shared" si="34"/>
        <v>0</v>
      </c>
      <c r="AH89" s="537">
        <f t="shared" si="34"/>
        <v>0</v>
      </c>
      <c r="AI89" s="537">
        <f t="shared" si="34"/>
        <v>0</v>
      </c>
      <c r="AJ89" s="537">
        <f t="shared" si="34"/>
        <v>0</v>
      </c>
      <c r="AK89" s="537">
        <f t="shared" si="34"/>
        <v>0</v>
      </c>
      <c r="AL89" s="537">
        <f t="shared" si="34"/>
        <v>0</v>
      </c>
      <c r="AM89" s="537">
        <f t="shared" si="34"/>
        <v>0</v>
      </c>
      <c r="AN89" s="537">
        <f t="shared" si="34"/>
        <v>1</v>
      </c>
      <c r="AO89" s="537">
        <f t="shared" si="34"/>
        <v>0</v>
      </c>
      <c r="AP89" s="537">
        <f t="shared" si="34"/>
        <v>0</v>
      </c>
      <c r="AQ89" s="537">
        <f t="shared" si="34"/>
        <v>0</v>
      </c>
      <c r="AR89" s="537">
        <f t="shared" si="34"/>
        <v>0</v>
      </c>
      <c r="AS89" s="537">
        <f t="shared" si="34"/>
        <v>0</v>
      </c>
      <c r="AT89" s="537">
        <f t="shared" si="34"/>
        <v>0</v>
      </c>
      <c r="AU89" s="537">
        <f t="shared" si="34"/>
        <v>0</v>
      </c>
      <c r="AV89" s="537">
        <f t="shared" si="34"/>
        <v>0</v>
      </c>
      <c r="AW89" s="537">
        <f t="shared" si="34"/>
        <v>0</v>
      </c>
      <c r="AX89" s="537">
        <f t="shared" si="34"/>
        <v>0</v>
      </c>
      <c r="AY89" s="537">
        <f t="shared" si="34"/>
        <v>0</v>
      </c>
      <c r="AZ89" s="537">
        <f t="shared" si="34"/>
        <v>0</v>
      </c>
      <c r="BA89" s="537">
        <f t="shared" si="34"/>
        <v>0</v>
      </c>
      <c r="BB89" s="537">
        <f t="shared" si="34"/>
        <v>0</v>
      </c>
      <c r="BC89" s="537">
        <f t="shared" si="34"/>
        <v>0</v>
      </c>
      <c r="BD89" s="537">
        <f t="shared" si="34"/>
        <v>0</v>
      </c>
      <c r="BE89" s="537">
        <f t="shared" si="34"/>
        <v>0</v>
      </c>
      <c r="BF89" s="537">
        <f t="shared" si="34"/>
        <v>0</v>
      </c>
      <c r="BG89" s="537">
        <f t="shared" si="34"/>
        <v>0</v>
      </c>
      <c r="BH89" s="537">
        <f t="shared" si="34"/>
        <v>0</v>
      </c>
      <c r="BI89" s="537">
        <f t="shared" si="34"/>
        <v>0</v>
      </c>
      <c r="BJ89" s="537">
        <f t="shared" si="34"/>
        <v>0</v>
      </c>
      <c r="BK89" s="537">
        <f t="shared" si="34"/>
        <v>0</v>
      </c>
      <c r="BL89" s="537">
        <f t="shared" si="34"/>
        <v>0</v>
      </c>
      <c r="BM89" s="537">
        <f t="shared" si="34"/>
        <v>0</v>
      </c>
      <c r="BN89" s="537">
        <f t="shared" si="34"/>
        <v>0</v>
      </c>
      <c r="BO89" s="537">
        <f t="shared" si="34"/>
        <v>0</v>
      </c>
      <c r="BP89" s="537">
        <f t="shared" si="34"/>
        <v>0</v>
      </c>
      <c r="BQ89" s="537">
        <f t="shared" si="34"/>
        <v>0</v>
      </c>
      <c r="BR89" s="537">
        <f t="shared" si="34"/>
        <v>0</v>
      </c>
      <c r="BS89" s="537">
        <f t="shared" si="34"/>
        <v>0</v>
      </c>
      <c r="BT89" s="537">
        <f t="shared" si="34"/>
        <v>0</v>
      </c>
      <c r="BU89" s="537">
        <f t="shared" si="34"/>
        <v>0</v>
      </c>
      <c r="BV89" s="537">
        <f t="shared" si="34"/>
        <v>0</v>
      </c>
      <c r="BW89" s="537">
        <f t="shared" si="34"/>
        <v>0</v>
      </c>
      <c r="BX89" s="537">
        <f t="shared" si="34"/>
        <v>0</v>
      </c>
      <c r="BY89" s="537">
        <f t="shared" si="34"/>
        <v>0</v>
      </c>
      <c r="BZ89" s="537">
        <f t="shared" si="34"/>
        <v>0</v>
      </c>
      <c r="CA89" s="537">
        <f t="shared" si="34"/>
        <v>0</v>
      </c>
      <c r="CB89" s="537">
        <f t="shared" si="34"/>
        <v>0</v>
      </c>
      <c r="CC89" s="537">
        <f t="shared" si="34"/>
        <v>0</v>
      </c>
      <c r="CD89" s="537">
        <f t="shared" si="34"/>
        <v>0</v>
      </c>
      <c r="CE89" s="537">
        <f t="shared" si="34"/>
        <v>0</v>
      </c>
      <c r="CF89" s="537">
        <f t="shared" si="34"/>
        <v>0</v>
      </c>
      <c r="CG89" s="537">
        <f t="shared" si="34"/>
        <v>0</v>
      </c>
      <c r="CH89" s="537">
        <f t="shared" si="34"/>
        <v>0</v>
      </c>
      <c r="CI89" s="537">
        <f t="shared" si="34"/>
        <v>0</v>
      </c>
      <c r="CJ89" s="537">
        <f t="shared" si="34"/>
        <v>0</v>
      </c>
      <c r="CK89" s="537">
        <f t="shared" si="34"/>
        <v>0</v>
      </c>
      <c r="CL89" s="537">
        <f t="shared" si="34"/>
        <v>0</v>
      </c>
      <c r="CM89" s="537">
        <f t="shared" si="34"/>
        <v>0</v>
      </c>
      <c r="CN89" s="537">
        <f t="shared" si="34"/>
        <v>0</v>
      </c>
      <c r="CO89" s="537">
        <f t="shared" si="34"/>
        <v>0</v>
      </c>
      <c r="CP89" s="537">
        <f t="shared" si="34"/>
        <v>0</v>
      </c>
      <c r="CQ89" s="537">
        <f t="shared" si="34"/>
        <v>0</v>
      </c>
      <c r="CR89" s="537">
        <f t="shared" si="34"/>
        <v>0</v>
      </c>
      <c r="CS89" s="537">
        <f t="shared" si="34"/>
        <v>0</v>
      </c>
      <c r="CT89" s="537">
        <f t="shared" si="34"/>
        <v>0</v>
      </c>
      <c r="CU89" s="537">
        <f t="shared" si="34"/>
        <v>0</v>
      </c>
      <c r="CV89" s="537">
        <f t="shared" si="34"/>
        <v>0</v>
      </c>
      <c r="CW89" s="537">
        <f t="shared" si="34"/>
        <v>0</v>
      </c>
      <c r="CX89" s="537">
        <f t="shared" si="34"/>
        <v>0</v>
      </c>
      <c r="CY89" s="537">
        <f t="shared" si="34"/>
        <v>0</v>
      </c>
      <c r="CZ89" s="537">
        <f t="shared" si="34"/>
        <v>0</v>
      </c>
      <c r="DA89" s="537">
        <f t="shared" si="34"/>
        <v>0</v>
      </c>
      <c r="DB89" s="537">
        <f t="shared" si="34"/>
        <v>0</v>
      </c>
      <c r="DC89" s="537">
        <f t="shared" si="34"/>
        <v>0</v>
      </c>
      <c r="DD89" s="537">
        <f t="shared" si="34"/>
        <v>0</v>
      </c>
      <c r="DE89" s="537">
        <f t="shared" si="34"/>
        <v>0</v>
      </c>
      <c r="DF89" s="537">
        <f t="shared" si="34"/>
        <v>0</v>
      </c>
      <c r="DG89" s="537">
        <f t="shared" si="34"/>
        <v>0</v>
      </c>
      <c r="DH89" s="537">
        <f t="shared" si="34"/>
        <v>0</v>
      </c>
      <c r="DI89" s="537">
        <f t="shared" si="34"/>
        <v>0</v>
      </c>
      <c r="DJ89" s="537">
        <f t="shared" si="34"/>
        <v>0</v>
      </c>
      <c r="DK89" s="537">
        <f t="shared" si="34"/>
        <v>0</v>
      </c>
      <c r="DL89" s="537">
        <f t="shared" si="34"/>
        <v>0</v>
      </c>
      <c r="DM89" s="537">
        <f t="shared" si="34"/>
        <v>0</v>
      </c>
      <c r="DN89" s="537">
        <f t="shared" si="34"/>
        <v>0</v>
      </c>
      <c r="DO89" s="537">
        <f t="shared" si="34"/>
        <v>0</v>
      </c>
      <c r="DP89" s="537">
        <f t="shared" si="34"/>
        <v>0</v>
      </c>
      <c r="DQ89" s="537">
        <f t="shared" si="34"/>
        <v>0</v>
      </c>
      <c r="DR89" s="537">
        <f t="shared" si="34"/>
        <v>0</v>
      </c>
      <c r="DS89" s="537">
        <f t="shared" si="34"/>
        <v>0</v>
      </c>
      <c r="DT89" s="537">
        <f t="shared" si="34"/>
        <v>0</v>
      </c>
      <c r="DU89" s="537">
        <f t="shared" si="34"/>
        <v>0</v>
      </c>
      <c r="DV89" s="537">
        <f t="shared" si="34"/>
        <v>0</v>
      </c>
      <c r="DW89" s="537">
        <f t="shared" si="34"/>
        <v>0</v>
      </c>
      <c r="DX89" s="537">
        <f t="shared" si="34"/>
        <v>0</v>
      </c>
      <c r="DY89" s="537">
        <f t="shared" si="34"/>
        <v>0</v>
      </c>
      <c r="DZ89" s="537">
        <f t="shared" si="34"/>
        <v>0</v>
      </c>
      <c r="EA89" s="537">
        <f t="shared" si="34"/>
        <v>0</v>
      </c>
      <c r="EB89" s="537">
        <f t="shared" si="34"/>
        <v>0</v>
      </c>
      <c r="EC89" s="537">
        <f t="shared" si="34"/>
        <v>0</v>
      </c>
      <c r="ED89" s="537">
        <f t="shared" si="34"/>
        <v>0</v>
      </c>
      <c r="EE89" s="537">
        <f t="shared" si="34"/>
        <v>0</v>
      </c>
      <c r="EF89" s="537">
        <f t="shared" si="34"/>
        <v>0</v>
      </c>
      <c r="EG89" s="537">
        <f t="shared" si="34"/>
        <v>0</v>
      </c>
      <c r="EH89" s="537">
        <f t="shared" si="34"/>
        <v>0</v>
      </c>
      <c r="EI89" s="537">
        <f t="shared" si="34"/>
        <v>0</v>
      </c>
      <c r="EJ89" s="537">
        <f t="shared" si="34"/>
        <v>0</v>
      </c>
      <c r="EK89" s="537">
        <f t="shared" si="34"/>
        <v>0</v>
      </c>
      <c r="EL89" s="537">
        <f t="shared" si="34"/>
        <v>0</v>
      </c>
      <c r="EM89" s="537">
        <f t="shared" si="34"/>
        <v>0</v>
      </c>
      <c r="EN89" s="537">
        <f t="shared" si="34"/>
        <v>0</v>
      </c>
      <c r="EO89" s="537">
        <f t="shared" si="34"/>
        <v>0</v>
      </c>
      <c r="EP89" s="537">
        <f t="shared" si="34"/>
        <v>0</v>
      </c>
      <c r="EQ89" s="537">
        <f t="shared" si="34"/>
        <v>0</v>
      </c>
      <c r="ER89" s="537">
        <f t="shared" si="34"/>
        <v>0</v>
      </c>
      <c r="ES89" s="537">
        <f t="shared" si="34"/>
        <v>0</v>
      </c>
      <c r="ET89" s="537">
        <f t="shared" si="34"/>
        <v>0</v>
      </c>
      <c r="EU89" s="537">
        <f t="shared" si="34"/>
        <v>0</v>
      </c>
      <c r="EV89" s="537">
        <f t="shared" si="34"/>
        <v>0</v>
      </c>
      <c r="EW89" s="537">
        <f t="shared" si="34"/>
        <v>0</v>
      </c>
      <c r="EX89" s="537">
        <f t="shared" si="34"/>
        <v>0</v>
      </c>
      <c r="EY89" s="537">
        <f t="shared" si="34"/>
        <v>0</v>
      </c>
      <c r="EZ89" s="537">
        <f t="shared" si="34"/>
        <v>0</v>
      </c>
      <c r="FA89" s="537">
        <f t="shared" si="34"/>
        <v>0</v>
      </c>
      <c r="FB89" s="537">
        <f t="shared" si="34"/>
        <v>0</v>
      </c>
      <c r="FC89" s="537">
        <f t="shared" si="34"/>
        <v>0</v>
      </c>
      <c r="FD89" s="537">
        <f t="shared" si="34"/>
        <v>0</v>
      </c>
      <c r="FE89" s="537">
        <f t="shared" si="34"/>
        <v>0</v>
      </c>
      <c r="FF89" s="537">
        <f t="shared" si="34"/>
        <v>0</v>
      </c>
      <c r="FG89" s="537">
        <f t="shared" si="34"/>
        <v>0</v>
      </c>
      <c r="FH89" s="537">
        <f t="shared" si="34"/>
        <v>0</v>
      </c>
      <c r="FI89" s="537">
        <f t="shared" si="34"/>
        <v>0</v>
      </c>
      <c r="FJ89" s="537">
        <f t="shared" si="34"/>
        <v>0</v>
      </c>
      <c r="FK89" s="537">
        <f t="shared" si="34"/>
        <v>0</v>
      </c>
      <c r="FL89" s="537">
        <f t="shared" si="34"/>
        <v>0</v>
      </c>
      <c r="FM89" s="537">
        <f t="shared" si="34"/>
        <v>0</v>
      </c>
      <c r="FN89" s="537">
        <f t="shared" si="34"/>
        <v>0</v>
      </c>
      <c r="FO89" s="537">
        <f t="shared" si="34"/>
        <v>0</v>
      </c>
      <c r="FP89" s="537">
        <f t="shared" si="34"/>
        <v>0</v>
      </c>
      <c r="FQ89" s="537">
        <f t="shared" si="34"/>
        <v>0</v>
      </c>
      <c r="FR89" s="537">
        <f t="shared" si="34"/>
        <v>0</v>
      </c>
      <c r="FS89" s="537">
        <f t="shared" si="34"/>
        <v>0</v>
      </c>
      <c r="FT89" s="537">
        <f t="shared" si="34"/>
        <v>0</v>
      </c>
      <c r="FU89" s="537">
        <f t="shared" si="34"/>
        <v>0</v>
      </c>
      <c r="FV89" s="537">
        <f t="shared" si="34"/>
        <v>0</v>
      </c>
      <c r="FW89" s="537">
        <f t="shared" si="34"/>
        <v>0</v>
      </c>
      <c r="FX89" s="537">
        <f t="shared" si="34"/>
        <v>0</v>
      </c>
      <c r="FY89" s="537">
        <f t="shared" si="34"/>
        <v>0</v>
      </c>
      <c r="FZ89" s="537">
        <f t="shared" si="34"/>
        <v>0</v>
      </c>
      <c r="GA89" s="537">
        <f t="shared" si="34"/>
        <v>0</v>
      </c>
      <c r="GB89" s="537">
        <f t="shared" si="34"/>
        <v>0</v>
      </c>
      <c r="GC89" s="537">
        <f t="shared" si="34"/>
        <v>0</v>
      </c>
      <c r="GD89" s="537">
        <f t="shared" si="34"/>
        <v>0</v>
      </c>
      <c r="GE89" s="537">
        <f t="shared" si="34"/>
        <v>0</v>
      </c>
      <c r="GF89" s="537">
        <f t="shared" si="34"/>
        <v>0</v>
      </c>
      <c r="GG89" s="537">
        <f t="shared" si="34"/>
        <v>0</v>
      </c>
      <c r="GH89" s="537">
        <f t="shared" si="34"/>
        <v>0</v>
      </c>
      <c r="GI89" s="537">
        <f t="shared" si="34"/>
        <v>0</v>
      </c>
      <c r="GJ89" s="537">
        <f t="shared" si="34"/>
        <v>0</v>
      </c>
    </row>
    <row r="90" spans="5:192" ht="12.75">
      <c r="E90" s="535" t="str">
        <f>E$86</f>
        <v>Last operating period flag</v>
      </c>
      <c r="G90" s="537" t="str">
        <f>G$86</f>
        <v>flag</v>
      </c>
      <c r="H90" s="537">
        <f>H$86</f>
        <v>1</v>
      </c>
      <c r="J90" s="537">
        <f t="shared" si="35" ref="J90:GJ90">J$86</f>
        <v>0</v>
      </c>
      <c r="K90" s="537">
        <f t="shared" si="35"/>
        <v>0</v>
      </c>
      <c r="L90" s="537">
        <f t="shared" si="35"/>
        <v>0</v>
      </c>
      <c r="M90" s="537">
        <f t="shared" si="35"/>
        <v>0</v>
      </c>
      <c r="N90" s="537">
        <f t="shared" si="35"/>
        <v>0</v>
      </c>
      <c r="O90" s="537">
        <f t="shared" si="35"/>
        <v>0</v>
      </c>
      <c r="P90" s="537">
        <f t="shared" si="35"/>
        <v>0</v>
      </c>
      <c r="Q90" s="537">
        <f t="shared" si="35"/>
        <v>0</v>
      </c>
      <c r="R90" s="537">
        <f t="shared" si="35"/>
        <v>0</v>
      </c>
      <c r="S90" s="537">
        <f t="shared" si="35"/>
        <v>0</v>
      </c>
      <c r="T90" s="537">
        <f t="shared" si="35"/>
        <v>0</v>
      </c>
      <c r="U90" s="537">
        <f t="shared" si="35"/>
        <v>0</v>
      </c>
      <c r="V90" s="537">
        <f t="shared" si="35"/>
        <v>0</v>
      </c>
      <c r="W90" s="537">
        <f t="shared" si="35"/>
        <v>0</v>
      </c>
      <c r="X90" s="537">
        <f t="shared" si="35"/>
        <v>0</v>
      </c>
      <c r="Y90" s="537">
        <f t="shared" si="35"/>
        <v>0</v>
      </c>
      <c r="Z90" s="537">
        <f t="shared" si="35"/>
        <v>0</v>
      </c>
      <c r="AA90" s="537">
        <f t="shared" si="35"/>
        <v>0</v>
      </c>
      <c r="AB90" s="537">
        <f t="shared" si="35"/>
        <v>0</v>
      </c>
      <c r="AC90" s="537">
        <f t="shared" si="35"/>
        <v>0</v>
      </c>
      <c r="AD90" s="537">
        <f t="shared" si="35"/>
        <v>0</v>
      </c>
      <c r="AE90" s="537">
        <f t="shared" si="35"/>
        <v>0</v>
      </c>
      <c r="AF90" s="537">
        <f t="shared" si="35"/>
        <v>0</v>
      </c>
      <c r="AG90" s="537">
        <f t="shared" si="35"/>
        <v>0</v>
      </c>
      <c r="AH90" s="537">
        <f t="shared" si="35"/>
        <v>0</v>
      </c>
      <c r="AI90" s="537">
        <f t="shared" si="35"/>
        <v>0</v>
      </c>
      <c r="AJ90" s="537">
        <f t="shared" si="35"/>
        <v>0</v>
      </c>
      <c r="AK90" s="537">
        <f t="shared" si="35"/>
        <v>0</v>
      </c>
      <c r="AL90" s="537">
        <f t="shared" si="35"/>
        <v>0</v>
      </c>
      <c r="AM90" s="537">
        <f t="shared" si="35"/>
        <v>0</v>
      </c>
      <c r="AN90" s="537">
        <f t="shared" si="35"/>
        <v>0</v>
      </c>
      <c r="AO90" s="537">
        <f t="shared" si="35"/>
        <v>0</v>
      </c>
      <c r="AP90" s="537">
        <f t="shared" si="35"/>
        <v>0</v>
      </c>
      <c r="AQ90" s="537">
        <f t="shared" si="35"/>
        <v>0</v>
      </c>
      <c r="AR90" s="537">
        <f t="shared" si="35"/>
        <v>0</v>
      </c>
      <c r="AS90" s="537">
        <f t="shared" si="35"/>
        <v>0</v>
      </c>
      <c r="AT90" s="537">
        <f t="shared" si="35"/>
        <v>0</v>
      </c>
      <c r="AU90" s="537">
        <f t="shared" si="35"/>
        <v>0</v>
      </c>
      <c r="AV90" s="537">
        <f t="shared" si="35"/>
        <v>0</v>
      </c>
      <c r="AW90" s="537">
        <f t="shared" si="35"/>
        <v>0</v>
      </c>
      <c r="AX90" s="537">
        <f t="shared" si="35"/>
        <v>0</v>
      </c>
      <c r="AY90" s="537">
        <f t="shared" si="35"/>
        <v>0</v>
      </c>
      <c r="AZ90" s="537">
        <f t="shared" si="35"/>
        <v>0</v>
      </c>
      <c r="BA90" s="537">
        <f t="shared" si="35"/>
        <v>0</v>
      </c>
      <c r="BB90" s="537">
        <f t="shared" si="35"/>
        <v>0</v>
      </c>
      <c r="BC90" s="537">
        <f t="shared" si="35"/>
        <v>0</v>
      </c>
      <c r="BD90" s="537">
        <f t="shared" si="35"/>
        <v>0</v>
      </c>
      <c r="BE90" s="537">
        <f t="shared" si="35"/>
        <v>0</v>
      </c>
      <c r="BF90" s="537">
        <f t="shared" si="35"/>
        <v>0</v>
      </c>
      <c r="BG90" s="537">
        <f t="shared" si="35"/>
        <v>0</v>
      </c>
      <c r="BH90" s="537">
        <f t="shared" si="35"/>
        <v>0</v>
      </c>
      <c r="BI90" s="537">
        <f t="shared" si="35"/>
        <v>0</v>
      </c>
      <c r="BJ90" s="537">
        <f t="shared" si="35"/>
        <v>0</v>
      </c>
      <c r="BK90" s="537">
        <f t="shared" si="35"/>
        <v>0</v>
      </c>
      <c r="BL90" s="537">
        <f t="shared" si="35"/>
        <v>0</v>
      </c>
      <c r="BM90" s="537">
        <f t="shared" si="35"/>
        <v>0</v>
      </c>
      <c r="BN90" s="537">
        <f t="shared" si="35"/>
        <v>0</v>
      </c>
      <c r="BO90" s="537">
        <f t="shared" si="35"/>
        <v>0</v>
      </c>
      <c r="BP90" s="537">
        <f t="shared" si="35"/>
        <v>0</v>
      </c>
      <c r="BQ90" s="537">
        <f t="shared" si="35"/>
        <v>0</v>
      </c>
      <c r="BR90" s="537">
        <f t="shared" si="35"/>
        <v>0</v>
      </c>
      <c r="BS90" s="537">
        <f t="shared" si="35"/>
        <v>0</v>
      </c>
      <c r="BT90" s="537">
        <f t="shared" si="35"/>
        <v>0</v>
      </c>
      <c r="BU90" s="537">
        <f t="shared" si="35"/>
        <v>0</v>
      </c>
      <c r="BV90" s="537">
        <f t="shared" si="35"/>
        <v>0</v>
      </c>
      <c r="BW90" s="537">
        <f t="shared" si="35"/>
        <v>0</v>
      </c>
      <c r="BX90" s="537">
        <f t="shared" si="35"/>
        <v>0</v>
      </c>
      <c r="BY90" s="537">
        <f t="shared" si="35"/>
        <v>0</v>
      </c>
      <c r="BZ90" s="537">
        <f t="shared" si="35"/>
        <v>0</v>
      </c>
      <c r="CA90" s="537">
        <f t="shared" si="35"/>
        <v>0</v>
      </c>
      <c r="CB90" s="537">
        <f t="shared" si="35"/>
        <v>0</v>
      </c>
      <c r="CC90" s="537">
        <f t="shared" si="35"/>
        <v>0</v>
      </c>
      <c r="CD90" s="537">
        <f t="shared" si="35"/>
        <v>0</v>
      </c>
      <c r="CE90" s="537">
        <f t="shared" si="35"/>
        <v>0</v>
      </c>
      <c r="CF90" s="537">
        <f t="shared" si="35"/>
        <v>0</v>
      </c>
      <c r="CG90" s="537">
        <f t="shared" si="35"/>
        <v>0</v>
      </c>
      <c r="CH90" s="537">
        <f t="shared" si="35"/>
        <v>0</v>
      </c>
      <c r="CI90" s="537">
        <f t="shared" si="35"/>
        <v>0</v>
      </c>
      <c r="CJ90" s="537">
        <f t="shared" si="35"/>
        <v>0</v>
      </c>
      <c r="CK90" s="537">
        <f t="shared" si="35"/>
        <v>0</v>
      </c>
      <c r="CL90" s="537">
        <f t="shared" si="35"/>
        <v>0</v>
      </c>
      <c r="CM90" s="537">
        <f t="shared" si="35"/>
        <v>0</v>
      </c>
      <c r="CN90" s="537">
        <f t="shared" si="35"/>
        <v>0</v>
      </c>
      <c r="CO90" s="537">
        <f t="shared" si="35"/>
        <v>0</v>
      </c>
      <c r="CP90" s="537">
        <f t="shared" si="35"/>
        <v>0</v>
      </c>
      <c r="CQ90" s="537">
        <f t="shared" si="35"/>
        <v>0</v>
      </c>
      <c r="CR90" s="537">
        <f t="shared" si="35"/>
        <v>0</v>
      </c>
      <c r="CS90" s="537">
        <f t="shared" si="35"/>
        <v>0</v>
      </c>
      <c r="CT90" s="537">
        <f t="shared" si="35"/>
        <v>0</v>
      </c>
      <c r="CU90" s="537">
        <f t="shared" si="35"/>
        <v>0</v>
      </c>
      <c r="CV90" s="537">
        <f t="shared" si="35"/>
        <v>0</v>
      </c>
      <c r="CW90" s="537">
        <f t="shared" si="35"/>
        <v>0</v>
      </c>
      <c r="CX90" s="537">
        <f t="shared" si="35"/>
        <v>0</v>
      </c>
      <c r="CY90" s="537">
        <f t="shared" si="35"/>
        <v>0</v>
      </c>
      <c r="CZ90" s="537">
        <f t="shared" si="35"/>
        <v>0</v>
      </c>
      <c r="DA90" s="537">
        <f t="shared" si="35"/>
        <v>0</v>
      </c>
      <c r="DB90" s="537">
        <f t="shared" si="35"/>
        <v>0</v>
      </c>
      <c r="DC90" s="537">
        <f t="shared" si="35"/>
        <v>0</v>
      </c>
      <c r="DD90" s="537">
        <f t="shared" si="35"/>
        <v>0</v>
      </c>
      <c r="DE90" s="537">
        <f t="shared" si="35"/>
        <v>0</v>
      </c>
      <c r="DF90" s="537">
        <f t="shared" si="35"/>
        <v>0</v>
      </c>
      <c r="DG90" s="537">
        <f t="shared" si="35"/>
        <v>0</v>
      </c>
      <c r="DH90" s="537">
        <f t="shared" si="35"/>
        <v>0</v>
      </c>
      <c r="DI90" s="537">
        <f t="shared" si="35"/>
        <v>0</v>
      </c>
      <c r="DJ90" s="537">
        <f t="shared" si="35"/>
        <v>0</v>
      </c>
      <c r="DK90" s="537">
        <f t="shared" si="35"/>
        <v>0</v>
      </c>
      <c r="DL90" s="537">
        <f t="shared" si="35"/>
        <v>0</v>
      </c>
      <c r="DM90" s="537">
        <f t="shared" si="35"/>
        <v>0</v>
      </c>
      <c r="DN90" s="537">
        <f t="shared" si="35"/>
        <v>0</v>
      </c>
      <c r="DO90" s="537">
        <f t="shared" si="35"/>
        <v>0</v>
      </c>
      <c r="DP90" s="537">
        <f t="shared" si="35"/>
        <v>0</v>
      </c>
      <c r="DQ90" s="537">
        <f t="shared" si="35"/>
        <v>0</v>
      </c>
      <c r="DR90" s="537">
        <f t="shared" si="35"/>
        <v>0</v>
      </c>
      <c r="DS90" s="537">
        <f t="shared" si="35"/>
        <v>0</v>
      </c>
      <c r="DT90" s="537">
        <f t="shared" si="35"/>
        <v>0</v>
      </c>
      <c r="DU90" s="537">
        <f t="shared" si="35"/>
        <v>0</v>
      </c>
      <c r="DV90" s="537">
        <f t="shared" si="35"/>
        <v>0</v>
      </c>
      <c r="DW90" s="537">
        <f t="shared" si="35"/>
        <v>0</v>
      </c>
      <c r="DX90" s="537">
        <f t="shared" si="35"/>
        <v>0</v>
      </c>
      <c r="DY90" s="537">
        <f t="shared" si="35"/>
        <v>0</v>
      </c>
      <c r="DZ90" s="537">
        <f t="shared" si="35"/>
        <v>0</v>
      </c>
      <c r="EA90" s="537">
        <f t="shared" si="35"/>
        <v>0</v>
      </c>
      <c r="EB90" s="537">
        <f t="shared" si="35"/>
        <v>0</v>
      </c>
      <c r="EC90" s="537">
        <f t="shared" si="35"/>
        <v>0</v>
      </c>
      <c r="ED90" s="537">
        <f t="shared" si="35"/>
        <v>0</v>
      </c>
      <c r="EE90" s="537">
        <f t="shared" si="35"/>
        <v>0</v>
      </c>
      <c r="EF90" s="537">
        <f t="shared" si="35"/>
        <v>0</v>
      </c>
      <c r="EG90" s="537">
        <f t="shared" si="35"/>
        <v>0</v>
      </c>
      <c r="EH90" s="537">
        <f t="shared" si="35"/>
        <v>0</v>
      </c>
      <c r="EI90" s="537">
        <f t="shared" si="35"/>
        <v>1</v>
      </c>
      <c r="EJ90" s="537">
        <f t="shared" si="35"/>
        <v>0</v>
      </c>
      <c r="EK90" s="537">
        <f t="shared" si="35"/>
        <v>0</v>
      </c>
      <c r="EL90" s="537">
        <f t="shared" si="35"/>
        <v>0</v>
      </c>
      <c r="EM90" s="537">
        <f t="shared" si="35"/>
        <v>0</v>
      </c>
      <c r="EN90" s="537">
        <f t="shared" si="35"/>
        <v>0</v>
      </c>
      <c r="EO90" s="537">
        <f t="shared" si="35"/>
        <v>0</v>
      </c>
      <c r="EP90" s="537">
        <f t="shared" si="35"/>
        <v>0</v>
      </c>
      <c r="EQ90" s="537">
        <f t="shared" si="35"/>
        <v>0</v>
      </c>
      <c r="ER90" s="537">
        <f t="shared" si="35"/>
        <v>0</v>
      </c>
      <c r="ES90" s="537">
        <f t="shared" si="35"/>
        <v>0</v>
      </c>
      <c r="ET90" s="537">
        <f t="shared" si="35"/>
        <v>0</v>
      </c>
      <c r="EU90" s="537">
        <f t="shared" si="35"/>
        <v>0</v>
      </c>
      <c r="EV90" s="537">
        <f t="shared" si="35"/>
        <v>0</v>
      </c>
      <c r="EW90" s="537">
        <f t="shared" si="35"/>
        <v>0</v>
      </c>
      <c r="EX90" s="537">
        <f t="shared" si="35"/>
        <v>0</v>
      </c>
      <c r="EY90" s="537">
        <f t="shared" si="35"/>
        <v>0</v>
      </c>
      <c r="EZ90" s="537">
        <f t="shared" si="35"/>
        <v>0</v>
      </c>
      <c r="FA90" s="537">
        <f t="shared" si="35"/>
        <v>0</v>
      </c>
      <c r="FB90" s="537">
        <f t="shared" si="35"/>
        <v>0</v>
      </c>
      <c r="FC90" s="537">
        <f t="shared" si="35"/>
        <v>0</v>
      </c>
      <c r="FD90" s="537">
        <f t="shared" si="35"/>
        <v>0</v>
      </c>
      <c r="FE90" s="537">
        <f t="shared" si="35"/>
        <v>0</v>
      </c>
      <c r="FF90" s="537">
        <f t="shared" si="35"/>
        <v>0</v>
      </c>
      <c r="FG90" s="537">
        <f t="shared" si="35"/>
        <v>0</v>
      </c>
      <c r="FH90" s="537">
        <f t="shared" si="35"/>
        <v>0</v>
      </c>
      <c r="FI90" s="537">
        <f t="shared" si="35"/>
        <v>0</v>
      </c>
      <c r="FJ90" s="537">
        <f t="shared" si="35"/>
        <v>0</v>
      </c>
      <c r="FK90" s="537">
        <f t="shared" si="35"/>
        <v>0</v>
      </c>
      <c r="FL90" s="537">
        <f t="shared" si="35"/>
        <v>0</v>
      </c>
      <c r="FM90" s="537">
        <f t="shared" si="35"/>
        <v>0</v>
      </c>
      <c r="FN90" s="537">
        <f t="shared" si="35"/>
        <v>0</v>
      </c>
      <c r="FO90" s="537">
        <f t="shared" si="35"/>
        <v>0</v>
      </c>
      <c r="FP90" s="537">
        <f t="shared" si="35"/>
        <v>0</v>
      </c>
      <c r="FQ90" s="537">
        <f t="shared" si="35"/>
        <v>0</v>
      </c>
      <c r="FR90" s="537">
        <f t="shared" si="35"/>
        <v>0</v>
      </c>
      <c r="FS90" s="537">
        <f t="shared" si="35"/>
        <v>0</v>
      </c>
      <c r="FT90" s="537">
        <f t="shared" si="35"/>
        <v>0</v>
      </c>
      <c r="FU90" s="537">
        <f t="shared" si="35"/>
        <v>0</v>
      </c>
      <c r="FV90" s="537">
        <f t="shared" si="35"/>
        <v>0</v>
      </c>
      <c r="FW90" s="537">
        <f t="shared" si="35"/>
        <v>0</v>
      </c>
      <c r="FX90" s="537">
        <f t="shared" si="35"/>
        <v>0</v>
      </c>
      <c r="FY90" s="537">
        <f t="shared" si="35"/>
        <v>0</v>
      </c>
      <c r="FZ90" s="537">
        <f t="shared" si="35"/>
        <v>0</v>
      </c>
      <c r="GA90" s="537">
        <f t="shared" si="35"/>
        <v>0</v>
      </c>
      <c r="GB90" s="537">
        <f t="shared" si="35"/>
        <v>0</v>
      </c>
      <c r="GC90" s="537">
        <f t="shared" si="35"/>
        <v>0</v>
      </c>
      <c r="GD90" s="537">
        <f t="shared" si="35"/>
        <v>0</v>
      </c>
      <c r="GE90" s="537">
        <f t="shared" si="35"/>
        <v>0</v>
      </c>
      <c r="GF90" s="537">
        <f t="shared" si="35"/>
        <v>0</v>
      </c>
      <c r="GG90" s="537">
        <f t="shared" si="35"/>
        <v>0</v>
      </c>
      <c r="GH90" s="537">
        <f t="shared" si="35"/>
        <v>0</v>
      </c>
      <c r="GI90" s="537">
        <f t="shared" si="35"/>
        <v>0</v>
      </c>
      <c r="GJ90" s="537">
        <f t="shared" si="35"/>
        <v>0</v>
      </c>
    </row>
    <row r="91" spans="5:192" ht="12.75">
      <c r="E91" s="535" t="s">
        <v>67</v>
      </c>
      <c r="G91" s="537" t="s">
        <v>50</v>
      </c>
      <c r="H91" s="537">
        <f>SUM(J91:GJ91)</f>
        <v>100</v>
      </c>
      <c r="J91" s="537">
        <f t="shared" si="36" ref="J91:GJ91">I91+J89-I90</f>
        <v>0</v>
      </c>
      <c r="K91" s="537">
        <f t="shared" si="36"/>
        <v>0</v>
      </c>
      <c r="L91" s="537">
        <f t="shared" si="36"/>
        <v>0</v>
      </c>
      <c r="M91" s="537">
        <f t="shared" si="36"/>
        <v>0</v>
      </c>
      <c r="N91" s="537">
        <f t="shared" si="36"/>
        <v>0</v>
      </c>
      <c r="O91" s="537">
        <f t="shared" si="36"/>
        <v>0</v>
      </c>
      <c r="P91" s="537">
        <f t="shared" si="36"/>
        <v>0</v>
      </c>
      <c r="Q91" s="537">
        <f t="shared" si="36"/>
        <v>0</v>
      </c>
      <c r="R91" s="537">
        <f t="shared" si="36"/>
        <v>0</v>
      </c>
      <c r="S91" s="537">
        <f t="shared" si="36"/>
        <v>0</v>
      </c>
      <c r="T91" s="537">
        <f t="shared" si="36"/>
        <v>0</v>
      </c>
      <c r="U91" s="537">
        <f t="shared" si="36"/>
        <v>0</v>
      </c>
      <c r="V91" s="537">
        <f t="shared" si="36"/>
        <v>0</v>
      </c>
      <c r="W91" s="537">
        <f t="shared" si="36"/>
        <v>0</v>
      </c>
      <c r="X91" s="537">
        <f t="shared" si="36"/>
        <v>0</v>
      </c>
      <c r="Y91" s="537">
        <f t="shared" si="36"/>
        <v>0</v>
      </c>
      <c r="Z91" s="537">
        <f t="shared" si="36"/>
        <v>0</v>
      </c>
      <c r="AA91" s="537">
        <f t="shared" si="36"/>
        <v>0</v>
      </c>
      <c r="AB91" s="537">
        <f t="shared" si="36"/>
        <v>0</v>
      </c>
      <c r="AC91" s="537">
        <f t="shared" si="36"/>
        <v>0</v>
      </c>
      <c r="AD91" s="537">
        <f t="shared" si="36"/>
        <v>0</v>
      </c>
      <c r="AE91" s="537">
        <f t="shared" si="36"/>
        <v>0</v>
      </c>
      <c r="AF91" s="537">
        <f t="shared" si="36"/>
        <v>0</v>
      </c>
      <c r="AG91" s="537">
        <f t="shared" si="36"/>
        <v>0</v>
      </c>
      <c r="AH91" s="537">
        <f t="shared" si="36"/>
        <v>0</v>
      </c>
      <c r="AI91" s="537">
        <f t="shared" si="36"/>
        <v>0</v>
      </c>
      <c r="AJ91" s="537">
        <f t="shared" si="36"/>
        <v>0</v>
      </c>
      <c r="AK91" s="537">
        <f t="shared" si="36"/>
        <v>0</v>
      </c>
      <c r="AL91" s="537">
        <f t="shared" si="36"/>
        <v>0</v>
      </c>
      <c r="AM91" s="537">
        <f t="shared" si="36"/>
        <v>0</v>
      </c>
      <c r="AN91" s="537">
        <f t="shared" si="36"/>
        <v>1</v>
      </c>
      <c r="AO91" s="537">
        <f t="shared" si="36"/>
        <v>1</v>
      </c>
      <c r="AP91" s="537">
        <f t="shared" si="36"/>
        <v>1</v>
      </c>
      <c r="AQ91" s="537">
        <f t="shared" si="36"/>
        <v>1</v>
      </c>
      <c r="AR91" s="537">
        <f t="shared" si="36"/>
        <v>1</v>
      </c>
      <c r="AS91" s="537">
        <f t="shared" si="36"/>
        <v>1</v>
      </c>
      <c r="AT91" s="537">
        <f t="shared" si="36"/>
        <v>1</v>
      </c>
      <c r="AU91" s="537">
        <f t="shared" si="36"/>
        <v>1</v>
      </c>
      <c r="AV91" s="537">
        <f t="shared" si="36"/>
        <v>1</v>
      </c>
      <c r="AW91" s="537">
        <f t="shared" si="36"/>
        <v>1</v>
      </c>
      <c r="AX91" s="537">
        <f t="shared" si="36"/>
        <v>1</v>
      </c>
      <c r="AY91" s="537">
        <f t="shared" si="36"/>
        <v>1</v>
      </c>
      <c r="AZ91" s="537">
        <f t="shared" si="36"/>
        <v>1</v>
      </c>
      <c r="BA91" s="537">
        <f t="shared" si="36"/>
        <v>1</v>
      </c>
      <c r="BB91" s="537">
        <f t="shared" si="36"/>
        <v>1</v>
      </c>
      <c r="BC91" s="537">
        <f t="shared" si="36"/>
        <v>1</v>
      </c>
      <c r="BD91" s="537">
        <f t="shared" si="36"/>
        <v>1</v>
      </c>
      <c r="BE91" s="537">
        <f t="shared" si="36"/>
        <v>1</v>
      </c>
      <c r="BF91" s="537">
        <f t="shared" si="36"/>
        <v>1</v>
      </c>
      <c r="BG91" s="537">
        <f t="shared" si="36"/>
        <v>1</v>
      </c>
      <c r="BH91" s="537">
        <f t="shared" si="36"/>
        <v>1</v>
      </c>
      <c r="BI91" s="537">
        <f t="shared" si="36"/>
        <v>1</v>
      </c>
      <c r="BJ91" s="537">
        <f t="shared" si="36"/>
        <v>1</v>
      </c>
      <c r="BK91" s="537">
        <f t="shared" si="36"/>
        <v>1</v>
      </c>
      <c r="BL91" s="537">
        <f t="shared" si="36"/>
        <v>1</v>
      </c>
      <c r="BM91" s="537">
        <f t="shared" si="36"/>
        <v>1</v>
      </c>
      <c r="BN91" s="537">
        <f t="shared" si="36"/>
        <v>1</v>
      </c>
      <c r="BO91" s="537">
        <f t="shared" si="36"/>
        <v>1</v>
      </c>
      <c r="BP91" s="537">
        <f t="shared" si="36"/>
        <v>1</v>
      </c>
      <c r="BQ91" s="537">
        <f t="shared" si="36"/>
        <v>1</v>
      </c>
      <c r="BR91" s="537">
        <f t="shared" si="36"/>
        <v>1</v>
      </c>
      <c r="BS91" s="537">
        <f t="shared" si="36"/>
        <v>1</v>
      </c>
      <c r="BT91" s="537">
        <f t="shared" si="36"/>
        <v>1</v>
      </c>
      <c r="BU91" s="537">
        <f t="shared" si="36"/>
        <v>1</v>
      </c>
      <c r="BV91" s="537">
        <f t="shared" si="36"/>
        <v>1</v>
      </c>
      <c r="BW91" s="537">
        <f t="shared" si="36"/>
        <v>1</v>
      </c>
      <c r="BX91" s="537">
        <f t="shared" si="36"/>
        <v>1</v>
      </c>
      <c r="BY91" s="537">
        <f t="shared" si="36"/>
        <v>1</v>
      </c>
      <c r="BZ91" s="537">
        <f t="shared" si="36"/>
        <v>1</v>
      </c>
      <c r="CA91" s="537">
        <f t="shared" si="36"/>
        <v>1</v>
      </c>
      <c r="CB91" s="537">
        <f t="shared" si="36"/>
        <v>1</v>
      </c>
      <c r="CC91" s="537">
        <f t="shared" si="36"/>
        <v>1</v>
      </c>
      <c r="CD91" s="537">
        <f t="shared" si="36"/>
        <v>1</v>
      </c>
      <c r="CE91" s="537">
        <f t="shared" si="36"/>
        <v>1</v>
      </c>
      <c r="CF91" s="537">
        <f t="shared" si="36"/>
        <v>1</v>
      </c>
      <c r="CG91" s="537">
        <f t="shared" si="36"/>
        <v>1</v>
      </c>
      <c r="CH91" s="537">
        <f t="shared" si="36"/>
        <v>1</v>
      </c>
      <c r="CI91" s="537">
        <f t="shared" si="36"/>
        <v>1</v>
      </c>
      <c r="CJ91" s="537">
        <f t="shared" si="36"/>
        <v>1</v>
      </c>
      <c r="CK91" s="537">
        <f t="shared" si="36"/>
        <v>1</v>
      </c>
      <c r="CL91" s="537">
        <f t="shared" si="36"/>
        <v>1</v>
      </c>
      <c r="CM91" s="537">
        <f t="shared" si="36"/>
        <v>1</v>
      </c>
      <c r="CN91" s="537">
        <f t="shared" si="36"/>
        <v>1</v>
      </c>
      <c r="CO91" s="537">
        <f t="shared" si="36"/>
        <v>1</v>
      </c>
      <c r="CP91" s="537">
        <f t="shared" si="36"/>
        <v>1</v>
      </c>
      <c r="CQ91" s="537">
        <f t="shared" si="36"/>
        <v>1</v>
      </c>
      <c r="CR91" s="537">
        <f t="shared" si="36"/>
        <v>1</v>
      </c>
      <c r="CS91" s="537">
        <f t="shared" si="36"/>
        <v>1</v>
      </c>
      <c r="CT91" s="537">
        <f t="shared" si="36"/>
        <v>1</v>
      </c>
      <c r="CU91" s="537">
        <f t="shared" si="36"/>
        <v>1</v>
      </c>
      <c r="CV91" s="537">
        <f t="shared" si="36"/>
        <v>1</v>
      </c>
      <c r="CW91" s="537">
        <f t="shared" si="36"/>
        <v>1</v>
      </c>
      <c r="CX91" s="537">
        <f t="shared" si="36"/>
        <v>1</v>
      </c>
      <c r="CY91" s="537">
        <f t="shared" si="36"/>
        <v>1</v>
      </c>
      <c r="CZ91" s="537">
        <f t="shared" si="36"/>
        <v>1</v>
      </c>
      <c r="DA91" s="537">
        <f t="shared" si="36"/>
        <v>1</v>
      </c>
      <c r="DB91" s="537">
        <f t="shared" si="36"/>
        <v>1</v>
      </c>
      <c r="DC91" s="537">
        <f t="shared" si="36"/>
        <v>1</v>
      </c>
      <c r="DD91" s="537">
        <f t="shared" si="36"/>
        <v>1</v>
      </c>
      <c r="DE91" s="537">
        <f t="shared" si="36"/>
        <v>1</v>
      </c>
      <c r="DF91" s="537">
        <f t="shared" si="36"/>
        <v>1</v>
      </c>
      <c r="DG91" s="537">
        <f t="shared" si="36"/>
        <v>1</v>
      </c>
      <c r="DH91" s="537">
        <f t="shared" si="36"/>
        <v>1</v>
      </c>
      <c r="DI91" s="537">
        <f t="shared" si="36"/>
        <v>1</v>
      </c>
      <c r="DJ91" s="537">
        <f t="shared" si="36"/>
        <v>1</v>
      </c>
      <c r="DK91" s="537">
        <f t="shared" si="36"/>
        <v>1</v>
      </c>
      <c r="DL91" s="537">
        <f t="shared" si="36"/>
        <v>1</v>
      </c>
      <c r="DM91" s="537">
        <f t="shared" si="36"/>
        <v>1</v>
      </c>
      <c r="DN91" s="537">
        <f t="shared" si="36"/>
        <v>1</v>
      </c>
      <c r="DO91" s="537">
        <f t="shared" si="36"/>
        <v>1</v>
      </c>
      <c r="DP91" s="537">
        <f t="shared" si="36"/>
        <v>1</v>
      </c>
      <c r="DQ91" s="537">
        <f t="shared" si="36"/>
        <v>1</v>
      </c>
      <c r="DR91" s="537">
        <f t="shared" si="36"/>
        <v>1</v>
      </c>
      <c r="DS91" s="537">
        <f t="shared" si="36"/>
        <v>1</v>
      </c>
      <c r="DT91" s="537">
        <f t="shared" si="36"/>
        <v>1</v>
      </c>
      <c r="DU91" s="537">
        <f t="shared" si="36"/>
        <v>1</v>
      </c>
      <c r="DV91" s="537">
        <f t="shared" si="36"/>
        <v>1</v>
      </c>
      <c r="DW91" s="537">
        <f t="shared" si="36"/>
        <v>1</v>
      </c>
      <c r="DX91" s="537">
        <f t="shared" si="36"/>
        <v>1</v>
      </c>
      <c r="DY91" s="537">
        <f t="shared" si="36"/>
        <v>1</v>
      </c>
      <c r="DZ91" s="537">
        <f t="shared" si="36"/>
        <v>1</v>
      </c>
      <c r="EA91" s="537">
        <f t="shared" si="36"/>
        <v>1</v>
      </c>
      <c r="EB91" s="537">
        <f t="shared" si="36"/>
        <v>1</v>
      </c>
      <c r="EC91" s="537">
        <f t="shared" si="36"/>
        <v>1</v>
      </c>
      <c r="ED91" s="537">
        <f t="shared" si="36"/>
        <v>1</v>
      </c>
      <c r="EE91" s="537">
        <f t="shared" si="36"/>
        <v>1</v>
      </c>
      <c r="EF91" s="537">
        <f t="shared" si="36"/>
        <v>1</v>
      </c>
      <c r="EG91" s="537">
        <f t="shared" si="36"/>
        <v>1</v>
      </c>
      <c r="EH91" s="537">
        <f t="shared" si="36"/>
        <v>1</v>
      </c>
      <c r="EI91" s="537">
        <f t="shared" si="36"/>
        <v>1</v>
      </c>
      <c r="EJ91" s="537">
        <f t="shared" si="36"/>
        <v>0</v>
      </c>
      <c r="EK91" s="537">
        <f t="shared" si="36"/>
        <v>0</v>
      </c>
      <c r="EL91" s="537">
        <f t="shared" si="36"/>
        <v>0</v>
      </c>
      <c r="EM91" s="537">
        <f t="shared" si="36"/>
        <v>0</v>
      </c>
      <c r="EN91" s="537">
        <f t="shared" si="36"/>
        <v>0</v>
      </c>
      <c r="EO91" s="537">
        <f t="shared" si="36"/>
        <v>0</v>
      </c>
      <c r="EP91" s="537">
        <f t="shared" si="36"/>
        <v>0</v>
      </c>
      <c r="EQ91" s="537">
        <f t="shared" si="36"/>
        <v>0</v>
      </c>
      <c r="ER91" s="537">
        <f t="shared" si="36"/>
        <v>0</v>
      </c>
      <c r="ES91" s="537">
        <f t="shared" si="36"/>
        <v>0</v>
      </c>
      <c r="ET91" s="537">
        <f t="shared" si="36"/>
        <v>0</v>
      </c>
      <c r="EU91" s="537">
        <f t="shared" si="36"/>
        <v>0</v>
      </c>
      <c r="EV91" s="537">
        <f t="shared" si="36"/>
        <v>0</v>
      </c>
      <c r="EW91" s="537">
        <f t="shared" si="36"/>
        <v>0</v>
      </c>
      <c r="EX91" s="537">
        <f t="shared" si="36"/>
        <v>0</v>
      </c>
      <c r="EY91" s="537">
        <f t="shared" si="36"/>
        <v>0</v>
      </c>
      <c r="EZ91" s="537">
        <f t="shared" si="36"/>
        <v>0</v>
      </c>
      <c r="FA91" s="537">
        <f t="shared" si="36"/>
        <v>0</v>
      </c>
      <c r="FB91" s="537">
        <f t="shared" si="36"/>
        <v>0</v>
      </c>
      <c r="FC91" s="537">
        <f t="shared" si="36"/>
        <v>0</v>
      </c>
      <c r="FD91" s="537">
        <f t="shared" si="36"/>
        <v>0</v>
      </c>
      <c r="FE91" s="537">
        <f t="shared" si="36"/>
        <v>0</v>
      </c>
      <c r="FF91" s="537">
        <f t="shared" si="36"/>
        <v>0</v>
      </c>
      <c r="FG91" s="537">
        <f t="shared" si="36"/>
        <v>0</v>
      </c>
      <c r="FH91" s="537">
        <f t="shared" si="36"/>
        <v>0</v>
      </c>
      <c r="FI91" s="537">
        <f t="shared" si="36"/>
        <v>0</v>
      </c>
      <c r="FJ91" s="537">
        <f t="shared" si="36"/>
        <v>0</v>
      </c>
      <c r="FK91" s="537">
        <f t="shared" si="36"/>
        <v>0</v>
      </c>
      <c r="FL91" s="537">
        <f t="shared" si="36"/>
        <v>0</v>
      </c>
      <c r="FM91" s="537">
        <f t="shared" si="36"/>
        <v>0</v>
      </c>
      <c r="FN91" s="537">
        <f t="shared" si="36"/>
        <v>0</v>
      </c>
      <c r="FO91" s="537">
        <f t="shared" si="36"/>
        <v>0</v>
      </c>
      <c r="FP91" s="537">
        <f t="shared" si="36"/>
        <v>0</v>
      </c>
      <c r="FQ91" s="537">
        <f t="shared" si="36"/>
        <v>0</v>
      </c>
      <c r="FR91" s="537">
        <f t="shared" si="36"/>
        <v>0</v>
      </c>
      <c r="FS91" s="537">
        <f t="shared" si="36"/>
        <v>0</v>
      </c>
      <c r="FT91" s="537">
        <f t="shared" si="36"/>
        <v>0</v>
      </c>
      <c r="FU91" s="537">
        <f t="shared" si="36"/>
        <v>0</v>
      </c>
      <c r="FV91" s="537">
        <f t="shared" si="36"/>
        <v>0</v>
      </c>
      <c r="FW91" s="537">
        <f t="shared" si="36"/>
        <v>0</v>
      </c>
      <c r="FX91" s="537">
        <f t="shared" si="36"/>
        <v>0</v>
      </c>
      <c r="FY91" s="537">
        <f t="shared" si="36"/>
        <v>0</v>
      </c>
      <c r="FZ91" s="537">
        <f t="shared" si="36"/>
        <v>0</v>
      </c>
      <c r="GA91" s="537">
        <f t="shared" si="36"/>
        <v>0</v>
      </c>
      <c r="GB91" s="537">
        <f t="shared" si="36"/>
        <v>0</v>
      </c>
      <c r="GC91" s="537">
        <f t="shared" si="36"/>
        <v>0</v>
      </c>
      <c r="GD91" s="537">
        <f t="shared" si="36"/>
        <v>0</v>
      </c>
      <c r="GE91" s="537">
        <f t="shared" si="36"/>
        <v>0</v>
      </c>
      <c r="GF91" s="537">
        <f t="shared" si="36"/>
        <v>0</v>
      </c>
      <c r="GG91" s="537">
        <f t="shared" si="36"/>
        <v>0</v>
      </c>
      <c r="GH91" s="537">
        <f t="shared" si="36"/>
        <v>0</v>
      </c>
      <c r="GI91" s="537">
        <f t="shared" si="36"/>
        <v>0</v>
      </c>
      <c r="GJ91" s="537">
        <f t="shared" si="36"/>
        <v>0</v>
      </c>
    </row>
    <row r="93" spans="2:2" ht="12.75">
      <c r="B93" s="534" t="s">
        <v>68</v>
      </c>
    </row>
    <row r="94" spans="5:192" ht="12.75">
      <c r="E94" s="535" t="str">
        <f>E$86</f>
        <v>Last operating period flag</v>
      </c>
      <c r="G94" s="537" t="str">
        <f>G$86</f>
        <v>flag</v>
      </c>
      <c r="H94" s="537">
        <f>H$86</f>
        <v>1</v>
      </c>
      <c r="J94" s="537">
        <f t="shared" si="37" ref="J94:GJ94">J$86</f>
        <v>0</v>
      </c>
      <c r="K94" s="537">
        <f t="shared" si="37"/>
        <v>0</v>
      </c>
      <c r="L94" s="537">
        <f t="shared" si="37"/>
        <v>0</v>
      </c>
      <c r="M94" s="537">
        <f t="shared" si="37"/>
        <v>0</v>
      </c>
      <c r="N94" s="537">
        <f t="shared" si="37"/>
        <v>0</v>
      </c>
      <c r="O94" s="537">
        <f t="shared" si="37"/>
        <v>0</v>
      </c>
      <c r="P94" s="537">
        <f t="shared" si="37"/>
        <v>0</v>
      </c>
      <c r="Q94" s="537">
        <f t="shared" si="37"/>
        <v>0</v>
      </c>
      <c r="R94" s="537">
        <f t="shared" si="37"/>
        <v>0</v>
      </c>
      <c r="S94" s="537">
        <f t="shared" si="37"/>
        <v>0</v>
      </c>
      <c r="T94" s="537">
        <f t="shared" si="37"/>
        <v>0</v>
      </c>
      <c r="U94" s="537">
        <f t="shared" si="37"/>
        <v>0</v>
      </c>
      <c r="V94" s="537">
        <f t="shared" si="37"/>
        <v>0</v>
      </c>
      <c r="W94" s="537">
        <f t="shared" si="37"/>
        <v>0</v>
      </c>
      <c r="X94" s="537">
        <f t="shared" si="37"/>
        <v>0</v>
      </c>
      <c r="Y94" s="537">
        <f t="shared" si="37"/>
        <v>0</v>
      </c>
      <c r="Z94" s="537">
        <f t="shared" si="37"/>
        <v>0</v>
      </c>
      <c r="AA94" s="537">
        <f t="shared" si="37"/>
        <v>0</v>
      </c>
      <c r="AB94" s="537">
        <f t="shared" si="37"/>
        <v>0</v>
      </c>
      <c r="AC94" s="537">
        <f t="shared" si="37"/>
        <v>0</v>
      </c>
      <c r="AD94" s="537">
        <f t="shared" si="37"/>
        <v>0</v>
      </c>
      <c r="AE94" s="537">
        <f t="shared" si="37"/>
        <v>0</v>
      </c>
      <c r="AF94" s="537">
        <f t="shared" si="37"/>
        <v>0</v>
      </c>
      <c r="AG94" s="537">
        <f t="shared" si="37"/>
        <v>0</v>
      </c>
      <c r="AH94" s="537">
        <f t="shared" si="37"/>
        <v>0</v>
      </c>
      <c r="AI94" s="537">
        <f t="shared" si="37"/>
        <v>0</v>
      </c>
      <c r="AJ94" s="537">
        <f t="shared" si="37"/>
        <v>0</v>
      </c>
      <c r="AK94" s="537">
        <f t="shared" si="37"/>
        <v>0</v>
      </c>
      <c r="AL94" s="537">
        <f t="shared" si="37"/>
        <v>0</v>
      </c>
      <c r="AM94" s="537">
        <f t="shared" si="37"/>
        <v>0</v>
      </c>
      <c r="AN94" s="537">
        <f t="shared" si="37"/>
        <v>0</v>
      </c>
      <c r="AO94" s="537">
        <f t="shared" si="37"/>
        <v>0</v>
      </c>
      <c r="AP94" s="537">
        <f t="shared" si="37"/>
        <v>0</v>
      </c>
      <c r="AQ94" s="537">
        <f t="shared" si="37"/>
        <v>0</v>
      </c>
      <c r="AR94" s="537">
        <f t="shared" si="37"/>
        <v>0</v>
      </c>
      <c r="AS94" s="537">
        <f t="shared" si="37"/>
        <v>0</v>
      </c>
      <c r="AT94" s="537">
        <f t="shared" si="37"/>
        <v>0</v>
      </c>
      <c r="AU94" s="537">
        <f t="shared" si="37"/>
        <v>0</v>
      </c>
      <c r="AV94" s="537">
        <f t="shared" si="37"/>
        <v>0</v>
      </c>
      <c r="AW94" s="537">
        <f t="shared" si="37"/>
        <v>0</v>
      </c>
      <c r="AX94" s="537">
        <f t="shared" si="37"/>
        <v>0</v>
      </c>
      <c r="AY94" s="537">
        <f t="shared" si="37"/>
        <v>0</v>
      </c>
      <c r="AZ94" s="537">
        <f t="shared" si="37"/>
        <v>0</v>
      </c>
      <c r="BA94" s="537">
        <f t="shared" si="37"/>
        <v>0</v>
      </c>
      <c r="BB94" s="537">
        <f t="shared" si="37"/>
        <v>0</v>
      </c>
      <c r="BC94" s="537">
        <f t="shared" si="37"/>
        <v>0</v>
      </c>
      <c r="BD94" s="537">
        <f t="shared" si="37"/>
        <v>0</v>
      </c>
      <c r="BE94" s="537">
        <f t="shared" si="37"/>
        <v>0</v>
      </c>
      <c r="BF94" s="537">
        <f t="shared" si="37"/>
        <v>0</v>
      </c>
      <c r="BG94" s="537">
        <f t="shared" si="37"/>
        <v>0</v>
      </c>
      <c r="BH94" s="537">
        <f t="shared" si="37"/>
        <v>0</v>
      </c>
      <c r="BI94" s="537">
        <f t="shared" si="37"/>
        <v>0</v>
      </c>
      <c r="BJ94" s="537">
        <f t="shared" si="37"/>
        <v>0</v>
      </c>
      <c r="BK94" s="537">
        <f t="shared" si="37"/>
        <v>0</v>
      </c>
      <c r="BL94" s="537">
        <f t="shared" si="37"/>
        <v>0</v>
      </c>
      <c r="BM94" s="537">
        <f t="shared" si="37"/>
        <v>0</v>
      </c>
      <c r="BN94" s="537">
        <f t="shared" si="37"/>
        <v>0</v>
      </c>
      <c r="BO94" s="537">
        <f t="shared" si="37"/>
        <v>0</v>
      </c>
      <c r="BP94" s="537">
        <f t="shared" si="37"/>
        <v>0</v>
      </c>
      <c r="BQ94" s="537">
        <f t="shared" si="37"/>
        <v>0</v>
      </c>
      <c r="BR94" s="537">
        <f t="shared" si="37"/>
        <v>0</v>
      </c>
      <c r="BS94" s="537">
        <f t="shared" si="37"/>
        <v>0</v>
      </c>
      <c r="BT94" s="537">
        <f t="shared" si="37"/>
        <v>0</v>
      </c>
      <c r="BU94" s="537">
        <f t="shared" si="37"/>
        <v>0</v>
      </c>
      <c r="BV94" s="537">
        <f t="shared" si="37"/>
        <v>0</v>
      </c>
      <c r="BW94" s="537">
        <f t="shared" si="37"/>
        <v>0</v>
      </c>
      <c r="BX94" s="537">
        <f t="shared" si="37"/>
        <v>0</v>
      </c>
      <c r="BY94" s="537">
        <f t="shared" si="37"/>
        <v>0</v>
      </c>
      <c r="BZ94" s="537">
        <f t="shared" si="37"/>
        <v>0</v>
      </c>
      <c r="CA94" s="537">
        <f t="shared" si="37"/>
        <v>0</v>
      </c>
      <c r="CB94" s="537">
        <f t="shared" si="37"/>
        <v>0</v>
      </c>
      <c r="CC94" s="537">
        <f t="shared" si="37"/>
        <v>0</v>
      </c>
      <c r="CD94" s="537">
        <f t="shared" si="37"/>
        <v>0</v>
      </c>
      <c r="CE94" s="537">
        <f t="shared" si="37"/>
        <v>0</v>
      </c>
      <c r="CF94" s="537">
        <f t="shared" si="37"/>
        <v>0</v>
      </c>
      <c r="CG94" s="537">
        <f t="shared" si="37"/>
        <v>0</v>
      </c>
      <c r="CH94" s="537">
        <f t="shared" si="37"/>
        <v>0</v>
      </c>
      <c r="CI94" s="537">
        <f t="shared" si="37"/>
        <v>0</v>
      </c>
      <c r="CJ94" s="537">
        <f t="shared" si="37"/>
        <v>0</v>
      </c>
      <c r="CK94" s="537">
        <f t="shared" si="37"/>
        <v>0</v>
      </c>
      <c r="CL94" s="537">
        <f t="shared" si="37"/>
        <v>0</v>
      </c>
      <c r="CM94" s="537">
        <f t="shared" si="37"/>
        <v>0</v>
      </c>
      <c r="CN94" s="537">
        <f t="shared" si="37"/>
        <v>0</v>
      </c>
      <c r="CO94" s="537">
        <f t="shared" si="37"/>
        <v>0</v>
      </c>
      <c r="CP94" s="537">
        <f t="shared" si="37"/>
        <v>0</v>
      </c>
      <c r="CQ94" s="537">
        <f t="shared" si="37"/>
        <v>0</v>
      </c>
      <c r="CR94" s="537">
        <f t="shared" si="37"/>
        <v>0</v>
      </c>
      <c r="CS94" s="537">
        <f t="shared" si="37"/>
        <v>0</v>
      </c>
      <c r="CT94" s="537">
        <f t="shared" si="37"/>
        <v>0</v>
      </c>
      <c r="CU94" s="537">
        <f t="shared" si="37"/>
        <v>0</v>
      </c>
      <c r="CV94" s="537">
        <f t="shared" si="37"/>
        <v>0</v>
      </c>
      <c r="CW94" s="537">
        <f t="shared" si="37"/>
        <v>0</v>
      </c>
      <c r="CX94" s="537">
        <f t="shared" si="37"/>
        <v>0</v>
      </c>
      <c r="CY94" s="537">
        <f t="shared" si="37"/>
        <v>0</v>
      </c>
      <c r="CZ94" s="537">
        <f t="shared" si="37"/>
        <v>0</v>
      </c>
      <c r="DA94" s="537">
        <f t="shared" si="37"/>
        <v>0</v>
      </c>
      <c r="DB94" s="537">
        <f t="shared" si="37"/>
        <v>0</v>
      </c>
      <c r="DC94" s="537">
        <f t="shared" si="37"/>
        <v>0</v>
      </c>
      <c r="DD94" s="537">
        <f t="shared" si="37"/>
        <v>0</v>
      </c>
      <c r="DE94" s="537">
        <f t="shared" si="37"/>
        <v>0</v>
      </c>
      <c r="DF94" s="537">
        <f t="shared" si="37"/>
        <v>0</v>
      </c>
      <c r="DG94" s="537">
        <f t="shared" si="37"/>
        <v>0</v>
      </c>
      <c r="DH94" s="537">
        <f t="shared" si="37"/>
        <v>0</v>
      </c>
      <c r="DI94" s="537">
        <f t="shared" si="37"/>
        <v>0</v>
      </c>
      <c r="DJ94" s="537">
        <f t="shared" si="37"/>
        <v>0</v>
      </c>
      <c r="DK94" s="537">
        <f t="shared" si="37"/>
        <v>0</v>
      </c>
      <c r="DL94" s="537">
        <f t="shared" si="37"/>
        <v>0</v>
      </c>
      <c r="DM94" s="537">
        <f t="shared" si="37"/>
        <v>0</v>
      </c>
      <c r="DN94" s="537">
        <f t="shared" si="37"/>
        <v>0</v>
      </c>
      <c r="DO94" s="537">
        <f t="shared" si="37"/>
        <v>0</v>
      </c>
      <c r="DP94" s="537">
        <f t="shared" si="37"/>
        <v>0</v>
      </c>
      <c r="DQ94" s="537">
        <f t="shared" si="37"/>
        <v>0</v>
      </c>
      <c r="DR94" s="537">
        <f t="shared" si="37"/>
        <v>0</v>
      </c>
      <c r="DS94" s="537">
        <f t="shared" si="37"/>
        <v>0</v>
      </c>
      <c r="DT94" s="537">
        <f t="shared" si="37"/>
        <v>0</v>
      </c>
      <c r="DU94" s="537">
        <f t="shared" si="37"/>
        <v>0</v>
      </c>
      <c r="DV94" s="537">
        <f t="shared" si="37"/>
        <v>0</v>
      </c>
      <c r="DW94" s="537">
        <f t="shared" si="37"/>
        <v>0</v>
      </c>
      <c r="DX94" s="537">
        <f t="shared" si="37"/>
        <v>0</v>
      </c>
      <c r="DY94" s="537">
        <f t="shared" si="37"/>
        <v>0</v>
      </c>
      <c r="DZ94" s="537">
        <f t="shared" si="37"/>
        <v>0</v>
      </c>
      <c r="EA94" s="537">
        <f t="shared" si="37"/>
        <v>0</v>
      </c>
      <c r="EB94" s="537">
        <f t="shared" si="37"/>
        <v>0</v>
      </c>
      <c r="EC94" s="537">
        <f t="shared" si="37"/>
        <v>0</v>
      </c>
      <c r="ED94" s="537">
        <f t="shared" si="37"/>
        <v>0</v>
      </c>
      <c r="EE94" s="537">
        <f t="shared" si="37"/>
        <v>0</v>
      </c>
      <c r="EF94" s="537">
        <f t="shared" si="37"/>
        <v>0</v>
      </c>
      <c r="EG94" s="537">
        <f t="shared" si="37"/>
        <v>0</v>
      </c>
      <c r="EH94" s="537">
        <f t="shared" si="37"/>
        <v>0</v>
      </c>
      <c r="EI94" s="537">
        <f t="shared" si="37"/>
        <v>1</v>
      </c>
      <c r="EJ94" s="537">
        <f t="shared" si="37"/>
        <v>0</v>
      </c>
      <c r="EK94" s="537">
        <f t="shared" si="37"/>
        <v>0</v>
      </c>
      <c r="EL94" s="537">
        <f t="shared" si="37"/>
        <v>0</v>
      </c>
      <c r="EM94" s="537">
        <f t="shared" si="37"/>
        <v>0</v>
      </c>
      <c r="EN94" s="537">
        <f t="shared" si="37"/>
        <v>0</v>
      </c>
      <c r="EO94" s="537">
        <f t="shared" si="37"/>
        <v>0</v>
      </c>
      <c r="EP94" s="537">
        <f t="shared" si="37"/>
        <v>0</v>
      </c>
      <c r="EQ94" s="537">
        <f t="shared" si="37"/>
        <v>0</v>
      </c>
      <c r="ER94" s="537">
        <f t="shared" si="37"/>
        <v>0</v>
      </c>
      <c r="ES94" s="537">
        <f t="shared" si="37"/>
        <v>0</v>
      </c>
      <c r="ET94" s="537">
        <f t="shared" si="37"/>
        <v>0</v>
      </c>
      <c r="EU94" s="537">
        <f t="shared" si="37"/>
        <v>0</v>
      </c>
      <c r="EV94" s="537">
        <f t="shared" si="37"/>
        <v>0</v>
      </c>
      <c r="EW94" s="537">
        <f t="shared" si="37"/>
        <v>0</v>
      </c>
      <c r="EX94" s="537">
        <f t="shared" si="37"/>
        <v>0</v>
      </c>
      <c r="EY94" s="537">
        <f t="shared" si="37"/>
        <v>0</v>
      </c>
      <c r="EZ94" s="537">
        <f t="shared" si="37"/>
        <v>0</v>
      </c>
      <c r="FA94" s="537">
        <f t="shared" si="37"/>
        <v>0</v>
      </c>
      <c r="FB94" s="537">
        <f t="shared" si="37"/>
        <v>0</v>
      </c>
      <c r="FC94" s="537">
        <f t="shared" si="37"/>
        <v>0</v>
      </c>
      <c r="FD94" s="537">
        <f t="shared" si="37"/>
        <v>0</v>
      </c>
      <c r="FE94" s="537">
        <f t="shared" si="37"/>
        <v>0</v>
      </c>
      <c r="FF94" s="537">
        <f t="shared" si="37"/>
        <v>0</v>
      </c>
      <c r="FG94" s="537">
        <f t="shared" si="37"/>
        <v>0</v>
      </c>
      <c r="FH94" s="537">
        <f t="shared" si="37"/>
        <v>0</v>
      </c>
      <c r="FI94" s="537">
        <f t="shared" si="37"/>
        <v>0</v>
      </c>
      <c r="FJ94" s="537">
        <f t="shared" si="37"/>
        <v>0</v>
      </c>
      <c r="FK94" s="537">
        <f t="shared" si="37"/>
        <v>0</v>
      </c>
      <c r="FL94" s="537">
        <f t="shared" si="37"/>
        <v>0</v>
      </c>
      <c r="FM94" s="537">
        <f t="shared" si="37"/>
        <v>0</v>
      </c>
      <c r="FN94" s="537">
        <f t="shared" si="37"/>
        <v>0</v>
      </c>
      <c r="FO94" s="537">
        <f t="shared" si="37"/>
        <v>0</v>
      </c>
      <c r="FP94" s="537">
        <f t="shared" si="37"/>
        <v>0</v>
      </c>
      <c r="FQ94" s="537">
        <f t="shared" si="37"/>
        <v>0</v>
      </c>
      <c r="FR94" s="537">
        <f t="shared" si="37"/>
        <v>0</v>
      </c>
      <c r="FS94" s="537">
        <f t="shared" si="37"/>
        <v>0</v>
      </c>
      <c r="FT94" s="537">
        <f t="shared" si="37"/>
        <v>0</v>
      </c>
      <c r="FU94" s="537">
        <f t="shared" si="37"/>
        <v>0</v>
      </c>
      <c r="FV94" s="537">
        <f t="shared" si="37"/>
        <v>0</v>
      </c>
      <c r="FW94" s="537">
        <f t="shared" si="37"/>
        <v>0</v>
      </c>
      <c r="FX94" s="537">
        <f t="shared" si="37"/>
        <v>0</v>
      </c>
      <c r="FY94" s="537">
        <f t="shared" si="37"/>
        <v>0</v>
      </c>
      <c r="FZ94" s="537">
        <f t="shared" si="37"/>
        <v>0</v>
      </c>
      <c r="GA94" s="537">
        <f t="shared" si="37"/>
        <v>0</v>
      </c>
      <c r="GB94" s="537">
        <f t="shared" si="37"/>
        <v>0</v>
      </c>
      <c r="GC94" s="537">
        <f t="shared" si="37"/>
        <v>0</v>
      </c>
      <c r="GD94" s="537">
        <f t="shared" si="37"/>
        <v>0</v>
      </c>
      <c r="GE94" s="537">
        <f t="shared" si="37"/>
        <v>0</v>
      </c>
      <c r="GF94" s="537">
        <f t="shared" si="37"/>
        <v>0</v>
      </c>
      <c r="GG94" s="537">
        <f t="shared" si="37"/>
        <v>0</v>
      </c>
      <c r="GH94" s="537">
        <f t="shared" si="37"/>
        <v>0</v>
      </c>
      <c r="GI94" s="537">
        <f t="shared" si="37"/>
        <v>0</v>
      </c>
      <c r="GJ94" s="537">
        <f t="shared" si="37"/>
        <v>0</v>
      </c>
    </row>
    <row r="95" spans="5:192" ht="12.75">
      <c r="E95" s="535" t="s">
        <v>68</v>
      </c>
      <c r="G95" s="537" t="s">
        <v>50</v>
      </c>
      <c r="H95" s="537">
        <f>SUM(J95:GJ95)</f>
        <v>1</v>
      </c>
      <c r="J95" s="537">
        <f t="shared" si="38" ref="J95:GJ95">I94</f>
        <v>0</v>
      </c>
      <c r="K95" s="537">
        <f t="shared" si="38"/>
        <v>0</v>
      </c>
      <c r="L95" s="537">
        <f t="shared" si="38"/>
        <v>0</v>
      </c>
      <c r="M95" s="537">
        <f t="shared" si="38"/>
        <v>0</v>
      </c>
      <c r="N95" s="537">
        <f t="shared" si="38"/>
        <v>0</v>
      </c>
      <c r="O95" s="537">
        <f t="shared" si="38"/>
        <v>0</v>
      </c>
      <c r="P95" s="537">
        <f t="shared" si="38"/>
        <v>0</v>
      </c>
      <c r="Q95" s="537">
        <f t="shared" si="38"/>
        <v>0</v>
      </c>
      <c r="R95" s="537">
        <f t="shared" si="38"/>
        <v>0</v>
      </c>
      <c r="S95" s="537">
        <f t="shared" si="38"/>
        <v>0</v>
      </c>
      <c r="T95" s="537">
        <f t="shared" si="38"/>
        <v>0</v>
      </c>
      <c r="U95" s="537">
        <f t="shared" si="38"/>
        <v>0</v>
      </c>
      <c r="V95" s="537">
        <f t="shared" si="38"/>
        <v>0</v>
      </c>
      <c r="W95" s="537">
        <f t="shared" si="38"/>
        <v>0</v>
      </c>
      <c r="X95" s="537">
        <f t="shared" si="38"/>
        <v>0</v>
      </c>
      <c r="Y95" s="537">
        <f t="shared" si="38"/>
        <v>0</v>
      </c>
      <c r="Z95" s="537">
        <f t="shared" si="38"/>
        <v>0</v>
      </c>
      <c r="AA95" s="537">
        <f t="shared" si="38"/>
        <v>0</v>
      </c>
      <c r="AB95" s="537">
        <f t="shared" si="38"/>
        <v>0</v>
      </c>
      <c r="AC95" s="537">
        <f t="shared" si="38"/>
        <v>0</v>
      </c>
      <c r="AD95" s="537">
        <f t="shared" si="38"/>
        <v>0</v>
      </c>
      <c r="AE95" s="537">
        <f t="shared" si="38"/>
        <v>0</v>
      </c>
      <c r="AF95" s="537">
        <f t="shared" si="38"/>
        <v>0</v>
      </c>
      <c r="AG95" s="537">
        <f t="shared" si="38"/>
        <v>0</v>
      </c>
      <c r="AH95" s="537">
        <f t="shared" si="38"/>
        <v>0</v>
      </c>
      <c r="AI95" s="537">
        <f t="shared" si="38"/>
        <v>0</v>
      </c>
      <c r="AJ95" s="537">
        <f t="shared" si="38"/>
        <v>0</v>
      </c>
      <c r="AK95" s="537">
        <f t="shared" si="38"/>
        <v>0</v>
      </c>
      <c r="AL95" s="537">
        <f t="shared" si="38"/>
        <v>0</v>
      </c>
      <c r="AM95" s="537">
        <f t="shared" si="38"/>
        <v>0</v>
      </c>
      <c r="AN95" s="537">
        <f t="shared" si="38"/>
        <v>0</v>
      </c>
      <c r="AO95" s="537">
        <f t="shared" si="38"/>
        <v>0</v>
      </c>
      <c r="AP95" s="537">
        <f t="shared" si="38"/>
        <v>0</v>
      </c>
      <c r="AQ95" s="537">
        <f t="shared" si="38"/>
        <v>0</v>
      </c>
      <c r="AR95" s="537">
        <f t="shared" si="38"/>
        <v>0</v>
      </c>
      <c r="AS95" s="537">
        <f t="shared" si="38"/>
        <v>0</v>
      </c>
      <c r="AT95" s="537">
        <f t="shared" si="38"/>
        <v>0</v>
      </c>
      <c r="AU95" s="537">
        <f t="shared" si="38"/>
        <v>0</v>
      </c>
      <c r="AV95" s="537">
        <f t="shared" si="38"/>
        <v>0</v>
      </c>
      <c r="AW95" s="537">
        <f t="shared" si="38"/>
        <v>0</v>
      </c>
      <c r="AX95" s="537">
        <f t="shared" si="38"/>
        <v>0</v>
      </c>
      <c r="AY95" s="537">
        <f t="shared" si="38"/>
        <v>0</v>
      </c>
      <c r="AZ95" s="537">
        <f t="shared" si="38"/>
        <v>0</v>
      </c>
      <c r="BA95" s="537">
        <f t="shared" si="38"/>
        <v>0</v>
      </c>
      <c r="BB95" s="537">
        <f t="shared" si="38"/>
        <v>0</v>
      </c>
      <c r="BC95" s="537">
        <f t="shared" si="38"/>
        <v>0</v>
      </c>
      <c r="BD95" s="537">
        <f t="shared" si="38"/>
        <v>0</v>
      </c>
      <c r="BE95" s="537">
        <f t="shared" si="38"/>
        <v>0</v>
      </c>
      <c r="BF95" s="537">
        <f t="shared" si="38"/>
        <v>0</v>
      </c>
      <c r="BG95" s="537">
        <f t="shared" si="38"/>
        <v>0</v>
      </c>
      <c r="BH95" s="537">
        <f t="shared" si="38"/>
        <v>0</v>
      </c>
      <c r="BI95" s="537">
        <f t="shared" si="38"/>
        <v>0</v>
      </c>
      <c r="BJ95" s="537">
        <f t="shared" si="38"/>
        <v>0</v>
      </c>
      <c r="BK95" s="537">
        <f t="shared" si="38"/>
        <v>0</v>
      </c>
      <c r="BL95" s="537">
        <f t="shared" si="38"/>
        <v>0</v>
      </c>
      <c r="BM95" s="537">
        <f t="shared" si="38"/>
        <v>0</v>
      </c>
      <c r="BN95" s="537">
        <f t="shared" si="38"/>
        <v>0</v>
      </c>
      <c r="BO95" s="537">
        <f t="shared" si="38"/>
        <v>0</v>
      </c>
      <c r="BP95" s="537">
        <f t="shared" si="38"/>
        <v>0</v>
      </c>
      <c r="BQ95" s="537">
        <f t="shared" si="38"/>
        <v>0</v>
      </c>
      <c r="BR95" s="537">
        <f t="shared" si="38"/>
        <v>0</v>
      </c>
      <c r="BS95" s="537">
        <f t="shared" si="38"/>
        <v>0</v>
      </c>
      <c r="BT95" s="537">
        <f t="shared" si="38"/>
        <v>0</v>
      </c>
      <c r="BU95" s="537">
        <f t="shared" si="38"/>
        <v>0</v>
      </c>
      <c r="BV95" s="537">
        <f t="shared" si="38"/>
        <v>0</v>
      </c>
      <c r="BW95" s="537">
        <f t="shared" si="38"/>
        <v>0</v>
      </c>
      <c r="BX95" s="537">
        <f t="shared" si="38"/>
        <v>0</v>
      </c>
      <c r="BY95" s="537">
        <f t="shared" si="38"/>
        <v>0</v>
      </c>
      <c r="BZ95" s="537">
        <f t="shared" si="38"/>
        <v>0</v>
      </c>
      <c r="CA95" s="537">
        <f t="shared" si="38"/>
        <v>0</v>
      </c>
      <c r="CB95" s="537">
        <f t="shared" si="38"/>
        <v>0</v>
      </c>
      <c r="CC95" s="537">
        <f t="shared" si="38"/>
        <v>0</v>
      </c>
      <c r="CD95" s="537">
        <f t="shared" si="38"/>
        <v>0</v>
      </c>
      <c r="CE95" s="537">
        <f t="shared" si="38"/>
        <v>0</v>
      </c>
      <c r="CF95" s="537">
        <f t="shared" si="38"/>
        <v>0</v>
      </c>
      <c r="CG95" s="537">
        <f t="shared" si="38"/>
        <v>0</v>
      </c>
      <c r="CH95" s="537">
        <f t="shared" si="38"/>
        <v>0</v>
      </c>
      <c r="CI95" s="537">
        <f t="shared" si="38"/>
        <v>0</v>
      </c>
      <c r="CJ95" s="537">
        <f t="shared" si="38"/>
        <v>0</v>
      </c>
      <c r="CK95" s="537">
        <f t="shared" si="38"/>
        <v>0</v>
      </c>
      <c r="CL95" s="537">
        <f t="shared" si="38"/>
        <v>0</v>
      </c>
      <c r="CM95" s="537">
        <f t="shared" si="38"/>
        <v>0</v>
      </c>
      <c r="CN95" s="537">
        <f t="shared" si="38"/>
        <v>0</v>
      </c>
      <c r="CO95" s="537">
        <f t="shared" si="38"/>
        <v>0</v>
      </c>
      <c r="CP95" s="537">
        <f t="shared" si="38"/>
        <v>0</v>
      </c>
      <c r="CQ95" s="537">
        <f t="shared" si="38"/>
        <v>0</v>
      </c>
      <c r="CR95" s="537">
        <f t="shared" si="38"/>
        <v>0</v>
      </c>
      <c r="CS95" s="537">
        <f t="shared" si="38"/>
        <v>0</v>
      </c>
      <c r="CT95" s="537">
        <f t="shared" si="38"/>
        <v>0</v>
      </c>
      <c r="CU95" s="537">
        <f t="shared" si="38"/>
        <v>0</v>
      </c>
      <c r="CV95" s="537">
        <f t="shared" si="38"/>
        <v>0</v>
      </c>
      <c r="CW95" s="537">
        <f t="shared" si="38"/>
        <v>0</v>
      </c>
      <c r="CX95" s="537">
        <f t="shared" si="38"/>
        <v>0</v>
      </c>
      <c r="CY95" s="537">
        <f t="shared" si="38"/>
        <v>0</v>
      </c>
      <c r="CZ95" s="537">
        <f t="shared" si="38"/>
        <v>0</v>
      </c>
      <c r="DA95" s="537">
        <f t="shared" si="38"/>
        <v>0</v>
      </c>
      <c r="DB95" s="537">
        <f t="shared" si="38"/>
        <v>0</v>
      </c>
      <c r="DC95" s="537">
        <f t="shared" si="38"/>
        <v>0</v>
      </c>
      <c r="DD95" s="537">
        <f t="shared" si="38"/>
        <v>0</v>
      </c>
      <c r="DE95" s="537">
        <f t="shared" si="38"/>
        <v>0</v>
      </c>
      <c r="DF95" s="537">
        <f t="shared" si="38"/>
        <v>0</v>
      </c>
      <c r="DG95" s="537">
        <f t="shared" si="38"/>
        <v>0</v>
      </c>
      <c r="DH95" s="537">
        <f t="shared" si="38"/>
        <v>0</v>
      </c>
      <c r="DI95" s="537">
        <f t="shared" si="38"/>
        <v>0</v>
      </c>
      <c r="DJ95" s="537">
        <f t="shared" si="38"/>
        <v>0</v>
      </c>
      <c r="DK95" s="537">
        <f t="shared" si="38"/>
        <v>0</v>
      </c>
      <c r="DL95" s="537">
        <f t="shared" si="38"/>
        <v>0</v>
      </c>
      <c r="DM95" s="537">
        <f t="shared" si="38"/>
        <v>0</v>
      </c>
      <c r="DN95" s="537">
        <f t="shared" si="38"/>
        <v>0</v>
      </c>
      <c r="DO95" s="537">
        <f t="shared" si="38"/>
        <v>0</v>
      </c>
      <c r="DP95" s="537">
        <f t="shared" si="38"/>
        <v>0</v>
      </c>
      <c r="DQ95" s="537">
        <f t="shared" si="38"/>
        <v>0</v>
      </c>
      <c r="DR95" s="537">
        <f t="shared" si="38"/>
        <v>0</v>
      </c>
      <c r="DS95" s="537">
        <f t="shared" si="38"/>
        <v>0</v>
      </c>
      <c r="DT95" s="537">
        <f t="shared" si="38"/>
        <v>0</v>
      </c>
      <c r="DU95" s="537">
        <f t="shared" si="38"/>
        <v>0</v>
      </c>
      <c r="DV95" s="537">
        <f t="shared" si="38"/>
        <v>0</v>
      </c>
      <c r="DW95" s="537">
        <f t="shared" si="38"/>
        <v>0</v>
      </c>
      <c r="DX95" s="537">
        <f t="shared" si="38"/>
        <v>0</v>
      </c>
      <c r="DY95" s="537">
        <f t="shared" si="38"/>
        <v>0</v>
      </c>
      <c r="DZ95" s="537">
        <f t="shared" si="38"/>
        <v>0</v>
      </c>
      <c r="EA95" s="537">
        <f t="shared" si="38"/>
        <v>0</v>
      </c>
      <c r="EB95" s="537">
        <f t="shared" si="38"/>
        <v>0</v>
      </c>
      <c r="EC95" s="537">
        <f t="shared" si="38"/>
        <v>0</v>
      </c>
      <c r="ED95" s="537">
        <f t="shared" si="38"/>
        <v>0</v>
      </c>
      <c r="EE95" s="537">
        <f t="shared" si="38"/>
        <v>0</v>
      </c>
      <c r="EF95" s="537">
        <f t="shared" si="38"/>
        <v>0</v>
      </c>
      <c r="EG95" s="537">
        <f t="shared" si="38"/>
        <v>0</v>
      </c>
      <c r="EH95" s="537">
        <f t="shared" si="38"/>
        <v>0</v>
      </c>
      <c r="EI95" s="537">
        <f t="shared" si="38"/>
        <v>0</v>
      </c>
      <c r="EJ95" s="537">
        <f t="shared" si="38"/>
        <v>1</v>
      </c>
      <c r="EK95" s="537">
        <f t="shared" si="38"/>
        <v>0</v>
      </c>
      <c r="EL95" s="537">
        <f t="shared" si="38"/>
        <v>0</v>
      </c>
      <c r="EM95" s="537">
        <f t="shared" si="38"/>
        <v>0</v>
      </c>
      <c r="EN95" s="537">
        <f t="shared" si="38"/>
        <v>0</v>
      </c>
      <c r="EO95" s="537">
        <f t="shared" si="38"/>
        <v>0</v>
      </c>
      <c r="EP95" s="537">
        <f t="shared" si="38"/>
        <v>0</v>
      </c>
      <c r="EQ95" s="537">
        <f t="shared" si="38"/>
        <v>0</v>
      </c>
      <c r="ER95" s="537">
        <f t="shared" si="38"/>
        <v>0</v>
      </c>
      <c r="ES95" s="537">
        <f t="shared" si="38"/>
        <v>0</v>
      </c>
      <c r="ET95" s="537">
        <f t="shared" si="38"/>
        <v>0</v>
      </c>
      <c r="EU95" s="537">
        <f t="shared" si="38"/>
        <v>0</v>
      </c>
      <c r="EV95" s="537">
        <f t="shared" si="38"/>
        <v>0</v>
      </c>
      <c r="EW95" s="537">
        <f t="shared" si="38"/>
        <v>0</v>
      </c>
      <c r="EX95" s="537">
        <f t="shared" si="38"/>
        <v>0</v>
      </c>
      <c r="EY95" s="537">
        <f t="shared" si="38"/>
        <v>0</v>
      </c>
      <c r="EZ95" s="537">
        <f t="shared" si="38"/>
        <v>0</v>
      </c>
      <c r="FA95" s="537">
        <f t="shared" si="38"/>
        <v>0</v>
      </c>
      <c r="FB95" s="537">
        <f t="shared" si="38"/>
        <v>0</v>
      </c>
      <c r="FC95" s="537">
        <f t="shared" si="38"/>
        <v>0</v>
      </c>
      <c r="FD95" s="537">
        <f t="shared" si="38"/>
        <v>0</v>
      </c>
      <c r="FE95" s="537">
        <f t="shared" si="38"/>
        <v>0</v>
      </c>
      <c r="FF95" s="537">
        <f t="shared" si="38"/>
        <v>0</v>
      </c>
      <c r="FG95" s="537">
        <f t="shared" si="38"/>
        <v>0</v>
      </c>
      <c r="FH95" s="537">
        <f t="shared" si="38"/>
        <v>0</v>
      </c>
      <c r="FI95" s="537">
        <f t="shared" si="38"/>
        <v>0</v>
      </c>
      <c r="FJ95" s="537">
        <f t="shared" si="38"/>
        <v>0</v>
      </c>
      <c r="FK95" s="537">
        <f t="shared" si="38"/>
        <v>0</v>
      </c>
      <c r="FL95" s="537">
        <f t="shared" si="38"/>
        <v>0</v>
      </c>
      <c r="FM95" s="537">
        <f t="shared" si="38"/>
        <v>0</v>
      </c>
      <c r="FN95" s="537">
        <f t="shared" si="38"/>
        <v>0</v>
      </c>
      <c r="FO95" s="537">
        <f t="shared" si="38"/>
        <v>0</v>
      </c>
      <c r="FP95" s="537">
        <f t="shared" si="38"/>
        <v>0</v>
      </c>
      <c r="FQ95" s="537">
        <f t="shared" si="38"/>
        <v>0</v>
      </c>
      <c r="FR95" s="537">
        <f t="shared" si="38"/>
        <v>0</v>
      </c>
      <c r="FS95" s="537">
        <f t="shared" si="38"/>
        <v>0</v>
      </c>
      <c r="FT95" s="537">
        <f t="shared" si="38"/>
        <v>0</v>
      </c>
      <c r="FU95" s="537">
        <f t="shared" si="38"/>
        <v>0</v>
      </c>
      <c r="FV95" s="537">
        <f t="shared" si="38"/>
        <v>0</v>
      </c>
      <c r="FW95" s="537">
        <f t="shared" si="38"/>
        <v>0</v>
      </c>
      <c r="FX95" s="537">
        <f t="shared" si="38"/>
        <v>0</v>
      </c>
      <c r="FY95" s="537">
        <f t="shared" si="38"/>
        <v>0</v>
      </c>
      <c r="FZ95" s="537">
        <f t="shared" si="38"/>
        <v>0</v>
      </c>
      <c r="GA95" s="537">
        <f t="shared" si="38"/>
        <v>0</v>
      </c>
      <c r="GB95" s="537">
        <f t="shared" si="38"/>
        <v>0</v>
      </c>
      <c r="GC95" s="537">
        <f t="shared" si="38"/>
        <v>0</v>
      </c>
      <c r="GD95" s="537">
        <f t="shared" si="38"/>
        <v>0</v>
      </c>
      <c r="GE95" s="537">
        <f t="shared" si="38"/>
        <v>0</v>
      </c>
      <c r="GF95" s="537">
        <f t="shared" si="38"/>
        <v>0</v>
      </c>
      <c r="GG95" s="537">
        <f t="shared" si="38"/>
        <v>0</v>
      </c>
      <c r="GH95" s="537">
        <f t="shared" si="38"/>
        <v>0</v>
      </c>
      <c r="GI95" s="537">
        <f t="shared" si="38"/>
        <v>0</v>
      </c>
      <c r="GJ95" s="537">
        <f t="shared" si="38"/>
        <v>0</v>
      </c>
    </row>
    <row r="97" spans="2:2" ht="12.75">
      <c r="B97" s="534" t="s">
        <v>69</v>
      </c>
    </row>
    <row r="98" spans="5:7" ht="12.75">
      <c r="E98" s="546" t="str">
        <f>InpC!E$18</f>
        <v>Escalation period end month</v>
      </c>
      <c r="F98" s="548">
        <f>InpC!F$18</f>
        <v>12</v>
      </c>
      <c r="G98" s="548" t="str">
        <f>InpC!G$18</f>
        <v>month</v>
      </c>
    </row>
    <row r="99" spans="5:192" ht="12.75">
      <c r="E99" s="535" t="str">
        <f>E$50</f>
        <v>Model period ending</v>
      </c>
      <c r="G99" s="540" t="str">
        <f>G$50</f>
        <v>date</v>
      </c>
      <c r="J99" s="540">
        <f t="shared" si="39" ref="J99:GJ99">J$50</f>
        <v>46053</v>
      </c>
      <c r="K99" s="540">
        <f t="shared" si="39"/>
        <v>46081</v>
      </c>
      <c r="L99" s="540">
        <f t="shared" si="39"/>
        <v>46112</v>
      </c>
      <c r="M99" s="540">
        <f t="shared" si="39"/>
        <v>46142</v>
      </c>
      <c r="N99" s="540">
        <f t="shared" si="39"/>
        <v>46173</v>
      </c>
      <c r="O99" s="540">
        <f t="shared" si="39"/>
        <v>46203</v>
      </c>
      <c r="P99" s="540">
        <f t="shared" si="39"/>
        <v>46234</v>
      </c>
      <c r="Q99" s="540">
        <f t="shared" si="39"/>
        <v>46265</v>
      </c>
      <c r="R99" s="540">
        <f t="shared" si="39"/>
        <v>46295</v>
      </c>
      <c r="S99" s="540">
        <f t="shared" si="39"/>
        <v>46326</v>
      </c>
      <c r="T99" s="540">
        <f t="shared" si="39"/>
        <v>46356</v>
      </c>
      <c r="U99" s="540">
        <f t="shared" si="39"/>
        <v>46387</v>
      </c>
      <c r="V99" s="540">
        <f t="shared" si="39"/>
        <v>46418</v>
      </c>
      <c r="W99" s="540">
        <f t="shared" si="39"/>
        <v>46446</v>
      </c>
      <c r="X99" s="540">
        <f t="shared" si="39"/>
        <v>46477</v>
      </c>
      <c r="Y99" s="540">
        <f t="shared" si="39"/>
        <v>46507</v>
      </c>
      <c r="Z99" s="540">
        <f t="shared" si="39"/>
        <v>46538</v>
      </c>
      <c r="AA99" s="540">
        <f t="shared" si="39"/>
        <v>46568</v>
      </c>
      <c r="AB99" s="540">
        <f t="shared" si="39"/>
        <v>46599</v>
      </c>
      <c r="AC99" s="540">
        <f t="shared" si="39"/>
        <v>46630</v>
      </c>
      <c r="AD99" s="540">
        <f t="shared" si="39"/>
        <v>46660</v>
      </c>
      <c r="AE99" s="540">
        <f t="shared" si="39"/>
        <v>46691</v>
      </c>
      <c r="AF99" s="540">
        <f t="shared" si="39"/>
        <v>46721</v>
      </c>
      <c r="AG99" s="540">
        <f t="shared" si="39"/>
        <v>46752</v>
      </c>
      <c r="AH99" s="540">
        <f t="shared" si="39"/>
        <v>46783</v>
      </c>
      <c r="AI99" s="540">
        <f t="shared" si="39"/>
        <v>46812</v>
      </c>
      <c r="AJ99" s="540">
        <f t="shared" si="39"/>
        <v>46843</v>
      </c>
      <c r="AK99" s="540">
        <f t="shared" si="39"/>
        <v>46873</v>
      </c>
      <c r="AL99" s="540">
        <f t="shared" si="39"/>
        <v>46904</v>
      </c>
      <c r="AM99" s="540">
        <f t="shared" si="39"/>
        <v>46934</v>
      </c>
      <c r="AN99" s="540">
        <f t="shared" si="39"/>
        <v>47026</v>
      </c>
      <c r="AO99" s="540">
        <f t="shared" si="39"/>
        <v>47118</v>
      </c>
      <c r="AP99" s="540">
        <f t="shared" si="39"/>
        <v>47208</v>
      </c>
      <c r="AQ99" s="540">
        <f t="shared" si="39"/>
        <v>47299</v>
      </c>
      <c r="AR99" s="540">
        <f t="shared" si="39"/>
        <v>47391</v>
      </c>
      <c r="AS99" s="540">
        <f t="shared" si="39"/>
        <v>47483</v>
      </c>
      <c r="AT99" s="540">
        <f t="shared" si="39"/>
        <v>47573</v>
      </c>
      <c r="AU99" s="540">
        <f t="shared" si="39"/>
        <v>47664</v>
      </c>
      <c r="AV99" s="540">
        <f t="shared" si="39"/>
        <v>47756</v>
      </c>
      <c r="AW99" s="540">
        <f t="shared" si="39"/>
        <v>47848</v>
      </c>
      <c r="AX99" s="540">
        <f t="shared" si="39"/>
        <v>47938</v>
      </c>
      <c r="AY99" s="540">
        <f t="shared" si="39"/>
        <v>48029</v>
      </c>
      <c r="AZ99" s="540">
        <f t="shared" si="39"/>
        <v>48121</v>
      </c>
      <c r="BA99" s="540">
        <f t="shared" si="39"/>
        <v>48213</v>
      </c>
      <c r="BB99" s="540">
        <f t="shared" si="39"/>
        <v>48304</v>
      </c>
      <c r="BC99" s="540">
        <f t="shared" si="39"/>
        <v>48395</v>
      </c>
      <c r="BD99" s="540">
        <f t="shared" si="39"/>
        <v>48487</v>
      </c>
      <c r="BE99" s="540">
        <f t="shared" si="39"/>
        <v>48579</v>
      </c>
      <c r="BF99" s="540">
        <f t="shared" si="39"/>
        <v>48669</v>
      </c>
      <c r="BG99" s="540">
        <f t="shared" si="39"/>
        <v>48760</v>
      </c>
      <c r="BH99" s="540">
        <f t="shared" si="39"/>
        <v>48852</v>
      </c>
      <c r="BI99" s="540">
        <f t="shared" si="39"/>
        <v>48944</v>
      </c>
      <c r="BJ99" s="540">
        <f t="shared" si="39"/>
        <v>49034</v>
      </c>
      <c r="BK99" s="540">
        <f t="shared" si="39"/>
        <v>49125</v>
      </c>
      <c r="BL99" s="540">
        <f t="shared" si="39"/>
        <v>49217</v>
      </c>
      <c r="BM99" s="540">
        <f t="shared" si="39"/>
        <v>49309</v>
      </c>
      <c r="BN99" s="540">
        <f t="shared" si="39"/>
        <v>49399</v>
      </c>
      <c r="BO99" s="540">
        <f t="shared" si="39"/>
        <v>49490</v>
      </c>
      <c r="BP99" s="540">
        <f t="shared" si="39"/>
        <v>49582</v>
      </c>
      <c r="BQ99" s="540">
        <f t="shared" si="39"/>
        <v>49674</v>
      </c>
      <c r="BR99" s="540">
        <f t="shared" si="39"/>
        <v>49765</v>
      </c>
      <c r="BS99" s="540">
        <f t="shared" si="39"/>
        <v>49856</v>
      </c>
      <c r="BT99" s="540">
        <f t="shared" si="39"/>
        <v>49948</v>
      </c>
      <c r="BU99" s="540">
        <f t="shared" si="39"/>
        <v>50040</v>
      </c>
      <c r="BV99" s="540">
        <f t="shared" si="39"/>
        <v>50130</v>
      </c>
      <c r="BW99" s="540">
        <f t="shared" si="39"/>
        <v>50221</v>
      </c>
      <c r="BX99" s="540">
        <f t="shared" si="39"/>
        <v>50313</v>
      </c>
      <c r="BY99" s="540">
        <f t="shared" si="39"/>
        <v>50405</v>
      </c>
      <c r="BZ99" s="540">
        <f t="shared" si="39"/>
        <v>50495</v>
      </c>
      <c r="CA99" s="540">
        <f t="shared" si="39"/>
        <v>50586</v>
      </c>
      <c r="CB99" s="540">
        <f t="shared" si="39"/>
        <v>50678</v>
      </c>
      <c r="CC99" s="540">
        <f t="shared" si="39"/>
        <v>50770</v>
      </c>
      <c r="CD99" s="540">
        <f t="shared" si="39"/>
        <v>50860</v>
      </c>
      <c r="CE99" s="540">
        <f t="shared" si="39"/>
        <v>50951</v>
      </c>
      <c r="CF99" s="540">
        <f t="shared" si="39"/>
        <v>51043</v>
      </c>
      <c r="CG99" s="540">
        <f t="shared" si="39"/>
        <v>51135</v>
      </c>
      <c r="CH99" s="540">
        <f t="shared" si="39"/>
        <v>51226</v>
      </c>
      <c r="CI99" s="540">
        <f t="shared" si="39"/>
        <v>51317</v>
      </c>
      <c r="CJ99" s="540">
        <f t="shared" si="39"/>
        <v>51409</v>
      </c>
      <c r="CK99" s="540">
        <f t="shared" si="39"/>
        <v>51501</v>
      </c>
      <c r="CL99" s="540">
        <f t="shared" si="39"/>
        <v>51591</v>
      </c>
      <c r="CM99" s="540">
        <f t="shared" si="39"/>
        <v>51682</v>
      </c>
      <c r="CN99" s="540">
        <f t="shared" si="39"/>
        <v>51774</v>
      </c>
      <c r="CO99" s="540">
        <f t="shared" si="39"/>
        <v>51866</v>
      </c>
      <c r="CP99" s="540">
        <f t="shared" si="39"/>
        <v>51956</v>
      </c>
      <c r="CQ99" s="540">
        <f t="shared" si="39"/>
        <v>52047</v>
      </c>
      <c r="CR99" s="540">
        <f t="shared" si="39"/>
        <v>52139</v>
      </c>
      <c r="CS99" s="540">
        <f t="shared" si="39"/>
        <v>52231</v>
      </c>
      <c r="CT99" s="540">
        <f t="shared" si="39"/>
        <v>52321</v>
      </c>
      <c r="CU99" s="540">
        <f t="shared" si="39"/>
        <v>52412</v>
      </c>
      <c r="CV99" s="540">
        <f t="shared" si="39"/>
        <v>52504</v>
      </c>
      <c r="CW99" s="540">
        <f t="shared" si="39"/>
        <v>52596</v>
      </c>
      <c r="CX99" s="540">
        <f t="shared" si="39"/>
        <v>52687</v>
      </c>
      <c r="CY99" s="540">
        <f t="shared" si="39"/>
        <v>52778</v>
      </c>
      <c r="CZ99" s="540">
        <f t="shared" si="39"/>
        <v>52870</v>
      </c>
      <c r="DA99" s="540">
        <f t="shared" si="39"/>
        <v>52962</v>
      </c>
      <c r="DB99" s="540">
        <f t="shared" si="39"/>
        <v>53052</v>
      </c>
      <c r="DC99" s="540">
        <f t="shared" si="39"/>
        <v>53143</v>
      </c>
      <c r="DD99" s="540">
        <f t="shared" si="39"/>
        <v>53235</v>
      </c>
      <c r="DE99" s="540">
        <f t="shared" si="39"/>
        <v>53327</v>
      </c>
      <c r="DF99" s="540">
        <f t="shared" si="39"/>
        <v>53417</v>
      </c>
      <c r="DG99" s="540">
        <f t="shared" si="39"/>
        <v>53508</v>
      </c>
      <c r="DH99" s="540">
        <f t="shared" si="39"/>
        <v>53600</v>
      </c>
      <c r="DI99" s="540">
        <f t="shared" si="39"/>
        <v>53692</v>
      </c>
      <c r="DJ99" s="540">
        <f t="shared" si="39"/>
        <v>53782</v>
      </c>
      <c r="DK99" s="540">
        <f t="shared" si="39"/>
        <v>53873</v>
      </c>
      <c r="DL99" s="540">
        <f t="shared" si="39"/>
        <v>53965</v>
      </c>
      <c r="DM99" s="540">
        <f t="shared" si="39"/>
        <v>54057</v>
      </c>
      <c r="DN99" s="540">
        <f t="shared" si="39"/>
        <v>54148</v>
      </c>
      <c r="DO99" s="540">
        <f t="shared" si="39"/>
        <v>54239</v>
      </c>
      <c r="DP99" s="540">
        <f t="shared" si="39"/>
        <v>54331</v>
      </c>
      <c r="DQ99" s="540">
        <f t="shared" si="39"/>
        <v>54423</v>
      </c>
      <c r="DR99" s="540">
        <f t="shared" si="39"/>
        <v>54513</v>
      </c>
      <c r="DS99" s="540">
        <f t="shared" si="39"/>
        <v>54604</v>
      </c>
      <c r="DT99" s="540">
        <f t="shared" si="39"/>
        <v>54696</v>
      </c>
      <c r="DU99" s="540">
        <f t="shared" si="39"/>
        <v>54788</v>
      </c>
      <c r="DV99" s="540">
        <f t="shared" si="39"/>
        <v>54878</v>
      </c>
      <c r="DW99" s="540">
        <f t="shared" si="39"/>
        <v>54969</v>
      </c>
      <c r="DX99" s="540">
        <f t="shared" si="39"/>
        <v>55061</v>
      </c>
      <c r="DY99" s="540">
        <f t="shared" si="39"/>
        <v>55153</v>
      </c>
      <c r="DZ99" s="540">
        <f t="shared" si="39"/>
        <v>55243</v>
      </c>
      <c r="EA99" s="540">
        <f t="shared" si="39"/>
        <v>55334</v>
      </c>
      <c r="EB99" s="540">
        <f t="shared" si="39"/>
        <v>55426</v>
      </c>
      <c r="EC99" s="540">
        <f t="shared" si="39"/>
        <v>55518</v>
      </c>
      <c r="ED99" s="540">
        <f t="shared" si="39"/>
        <v>55609</v>
      </c>
      <c r="EE99" s="540">
        <f t="shared" si="39"/>
        <v>55700</v>
      </c>
      <c r="EF99" s="540">
        <f t="shared" si="39"/>
        <v>55792</v>
      </c>
      <c r="EG99" s="540">
        <f t="shared" si="39"/>
        <v>55884</v>
      </c>
      <c r="EH99" s="540">
        <f t="shared" si="39"/>
        <v>55974</v>
      </c>
      <c r="EI99" s="540">
        <f t="shared" si="39"/>
        <v>56065</v>
      </c>
      <c r="EJ99" s="540">
        <f t="shared" si="39"/>
        <v>56157</v>
      </c>
      <c r="EK99" s="540">
        <f t="shared" si="39"/>
        <v>56249</v>
      </c>
      <c r="EL99" s="540">
        <f t="shared" si="39"/>
        <v>56339</v>
      </c>
      <c r="EM99" s="540">
        <f t="shared" si="39"/>
        <v>56430</v>
      </c>
      <c r="EN99" s="540">
        <f t="shared" si="39"/>
        <v>56522</v>
      </c>
      <c r="EO99" s="540">
        <f t="shared" si="39"/>
        <v>56614</v>
      </c>
      <c r="EP99" s="540">
        <f t="shared" si="39"/>
        <v>56704</v>
      </c>
      <c r="EQ99" s="540">
        <f t="shared" si="39"/>
        <v>56795</v>
      </c>
      <c r="ER99" s="540">
        <f t="shared" si="39"/>
        <v>56887</v>
      </c>
      <c r="ES99" s="540">
        <f t="shared" si="39"/>
        <v>56979</v>
      </c>
      <c r="ET99" s="540">
        <f t="shared" si="39"/>
        <v>57070</v>
      </c>
      <c r="EU99" s="540">
        <f t="shared" si="39"/>
        <v>57161</v>
      </c>
      <c r="EV99" s="540">
        <f t="shared" si="39"/>
        <v>57253</v>
      </c>
      <c r="EW99" s="540">
        <f t="shared" si="39"/>
        <v>57345</v>
      </c>
      <c r="EX99" s="540">
        <f t="shared" si="39"/>
        <v>57435</v>
      </c>
      <c r="EY99" s="540">
        <f t="shared" si="39"/>
        <v>57526</v>
      </c>
      <c r="EZ99" s="540">
        <f t="shared" si="39"/>
        <v>57618</v>
      </c>
      <c r="FA99" s="540">
        <f t="shared" si="39"/>
        <v>57710</v>
      </c>
      <c r="FB99" s="540">
        <f t="shared" si="39"/>
        <v>57800</v>
      </c>
      <c r="FC99" s="540">
        <f t="shared" si="39"/>
        <v>57891</v>
      </c>
      <c r="FD99" s="540">
        <f t="shared" si="39"/>
        <v>57983</v>
      </c>
      <c r="FE99" s="540">
        <f t="shared" si="39"/>
        <v>58075</v>
      </c>
      <c r="FF99" s="540">
        <f t="shared" si="39"/>
        <v>58165</v>
      </c>
      <c r="FG99" s="540">
        <f t="shared" si="39"/>
        <v>58256</v>
      </c>
      <c r="FH99" s="540">
        <f t="shared" si="39"/>
        <v>58348</v>
      </c>
      <c r="FI99" s="540">
        <f t="shared" si="39"/>
        <v>58440</v>
      </c>
      <c r="FJ99" s="540">
        <f t="shared" si="39"/>
        <v>58531</v>
      </c>
      <c r="FK99" s="540">
        <f t="shared" si="39"/>
        <v>58622</v>
      </c>
      <c r="FL99" s="540">
        <f t="shared" si="39"/>
        <v>58714</v>
      </c>
      <c r="FM99" s="540">
        <f t="shared" si="39"/>
        <v>58806</v>
      </c>
      <c r="FN99" s="540">
        <f t="shared" si="39"/>
        <v>58896</v>
      </c>
      <c r="FO99" s="540">
        <f t="shared" si="39"/>
        <v>58987</v>
      </c>
      <c r="FP99" s="540">
        <f t="shared" si="39"/>
        <v>59079</v>
      </c>
      <c r="FQ99" s="540">
        <f t="shared" si="39"/>
        <v>59171</v>
      </c>
      <c r="FR99" s="540">
        <f t="shared" si="39"/>
        <v>59261</v>
      </c>
      <c r="FS99" s="540">
        <f t="shared" si="39"/>
        <v>59352</v>
      </c>
      <c r="FT99" s="540">
        <f t="shared" si="39"/>
        <v>59444</v>
      </c>
      <c r="FU99" s="540">
        <f t="shared" si="39"/>
        <v>59536</v>
      </c>
      <c r="FV99" s="540">
        <f t="shared" si="39"/>
        <v>59626</v>
      </c>
      <c r="FW99" s="540">
        <f t="shared" si="39"/>
        <v>59717</v>
      </c>
      <c r="FX99" s="540">
        <f t="shared" si="39"/>
        <v>59809</v>
      </c>
      <c r="FY99" s="540">
        <f t="shared" si="39"/>
        <v>59901</v>
      </c>
      <c r="FZ99" s="540">
        <f t="shared" si="39"/>
        <v>59992</v>
      </c>
      <c r="GA99" s="540">
        <f t="shared" si="39"/>
        <v>60083</v>
      </c>
      <c r="GB99" s="540">
        <f t="shared" si="39"/>
        <v>60175</v>
      </c>
      <c r="GC99" s="540">
        <f t="shared" si="39"/>
        <v>60267</v>
      </c>
      <c r="GD99" s="540">
        <f t="shared" si="39"/>
        <v>60357</v>
      </c>
      <c r="GE99" s="540">
        <f t="shared" si="39"/>
        <v>60448</v>
      </c>
      <c r="GF99" s="540">
        <f t="shared" si="39"/>
        <v>60540</v>
      </c>
      <c r="GG99" s="540">
        <f t="shared" si="39"/>
        <v>60632</v>
      </c>
      <c r="GH99" s="540">
        <f t="shared" si="39"/>
        <v>60722</v>
      </c>
      <c r="GI99" s="540">
        <f t="shared" si="39"/>
        <v>60813</v>
      </c>
      <c r="GJ99" s="540">
        <f t="shared" si="39"/>
        <v>60905</v>
      </c>
    </row>
    <row r="100" spans="5:192" ht="12.75">
      <c r="E100" s="535" t="s">
        <v>70</v>
      </c>
      <c r="G100" s="537" t="s">
        <v>50</v>
      </c>
      <c r="H100" s="537">
        <f>SUM(J100:GJ100)</f>
        <v>40</v>
      </c>
      <c r="J100" s="537">
        <f t="shared" si="40" ref="J100:GJ100">IF(MONTH(J99)=$F98,1,0)</f>
        <v>0</v>
      </c>
      <c r="K100" s="537">
        <f t="shared" si="40"/>
        <v>0</v>
      </c>
      <c r="L100" s="537">
        <f t="shared" si="40"/>
        <v>0</v>
      </c>
      <c r="M100" s="537">
        <f t="shared" si="40"/>
        <v>0</v>
      </c>
      <c r="N100" s="537">
        <f t="shared" si="40"/>
        <v>0</v>
      </c>
      <c r="O100" s="537">
        <f t="shared" si="40"/>
        <v>0</v>
      </c>
      <c r="P100" s="537">
        <f t="shared" si="40"/>
        <v>0</v>
      </c>
      <c r="Q100" s="537">
        <f t="shared" si="40"/>
        <v>0</v>
      </c>
      <c r="R100" s="537">
        <f t="shared" si="40"/>
        <v>0</v>
      </c>
      <c r="S100" s="537">
        <f t="shared" si="40"/>
        <v>0</v>
      </c>
      <c r="T100" s="537">
        <f t="shared" si="40"/>
        <v>0</v>
      </c>
      <c r="U100" s="537">
        <f t="shared" si="40"/>
        <v>1</v>
      </c>
      <c r="V100" s="537">
        <f t="shared" si="40"/>
        <v>0</v>
      </c>
      <c r="W100" s="537">
        <f t="shared" si="40"/>
        <v>0</v>
      </c>
      <c r="X100" s="537">
        <f t="shared" si="40"/>
        <v>0</v>
      </c>
      <c r="Y100" s="537">
        <f t="shared" si="40"/>
        <v>0</v>
      </c>
      <c r="Z100" s="537">
        <f t="shared" si="40"/>
        <v>0</v>
      </c>
      <c r="AA100" s="537">
        <f t="shared" si="40"/>
        <v>0</v>
      </c>
      <c r="AB100" s="537">
        <f t="shared" si="40"/>
        <v>0</v>
      </c>
      <c r="AC100" s="537">
        <f t="shared" si="40"/>
        <v>0</v>
      </c>
      <c r="AD100" s="537">
        <f t="shared" si="40"/>
        <v>0</v>
      </c>
      <c r="AE100" s="537">
        <f t="shared" si="40"/>
        <v>0</v>
      </c>
      <c r="AF100" s="537">
        <f t="shared" si="40"/>
        <v>0</v>
      </c>
      <c r="AG100" s="537">
        <f t="shared" si="40"/>
        <v>1</v>
      </c>
      <c r="AH100" s="537">
        <f t="shared" si="40"/>
        <v>0</v>
      </c>
      <c r="AI100" s="537">
        <f t="shared" si="40"/>
        <v>0</v>
      </c>
      <c r="AJ100" s="537">
        <f t="shared" si="40"/>
        <v>0</v>
      </c>
      <c r="AK100" s="537">
        <f t="shared" si="40"/>
        <v>0</v>
      </c>
      <c r="AL100" s="537">
        <f t="shared" si="40"/>
        <v>0</v>
      </c>
      <c r="AM100" s="537">
        <f t="shared" si="40"/>
        <v>0</v>
      </c>
      <c r="AN100" s="537">
        <f t="shared" si="40"/>
        <v>0</v>
      </c>
      <c r="AO100" s="537">
        <f t="shared" si="40"/>
        <v>1</v>
      </c>
      <c r="AP100" s="537">
        <f t="shared" si="40"/>
        <v>0</v>
      </c>
      <c r="AQ100" s="537">
        <f t="shared" si="40"/>
        <v>0</v>
      </c>
      <c r="AR100" s="537">
        <f t="shared" si="40"/>
        <v>0</v>
      </c>
      <c r="AS100" s="537">
        <f t="shared" si="40"/>
        <v>1</v>
      </c>
      <c r="AT100" s="537">
        <f t="shared" si="40"/>
        <v>0</v>
      </c>
      <c r="AU100" s="537">
        <f t="shared" si="40"/>
        <v>0</v>
      </c>
      <c r="AV100" s="537">
        <f t="shared" si="40"/>
        <v>0</v>
      </c>
      <c r="AW100" s="537">
        <f t="shared" si="40"/>
        <v>1</v>
      </c>
      <c r="AX100" s="537">
        <f t="shared" si="40"/>
        <v>0</v>
      </c>
      <c r="AY100" s="537">
        <f t="shared" si="40"/>
        <v>0</v>
      </c>
      <c r="AZ100" s="537">
        <f t="shared" si="40"/>
        <v>0</v>
      </c>
      <c r="BA100" s="537">
        <f t="shared" si="40"/>
        <v>1</v>
      </c>
      <c r="BB100" s="537">
        <f t="shared" si="40"/>
        <v>0</v>
      </c>
      <c r="BC100" s="537">
        <f t="shared" si="40"/>
        <v>0</v>
      </c>
      <c r="BD100" s="537">
        <f t="shared" si="40"/>
        <v>0</v>
      </c>
      <c r="BE100" s="537">
        <f t="shared" si="40"/>
        <v>1</v>
      </c>
      <c r="BF100" s="537">
        <f t="shared" si="40"/>
        <v>0</v>
      </c>
      <c r="BG100" s="537">
        <f t="shared" si="40"/>
        <v>0</v>
      </c>
      <c r="BH100" s="537">
        <f t="shared" si="40"/>
        <v>0</v>
      </c>
      <c r="BI100" s="537">
        <f t="shared" si="40"/>
        <v>1</v>
      </c>
      <c r="BJ100" s="537">
        <f t="shared" si="40"/>
        <v>0</v>
      </c>
      <c r="BK100" s="537">
        <f t="shared" si="40"/>
        <v>0</v>
      </c>
      <c r="BL100" s="537">
        <f t="shared" si="40"/>
        <v>0</v>
      </c>
      <c r="BM100" s="537">
        <f t="shared" si="40"/>
        <v>1</v>
      </c>
      <c r="BN100" s="537">
        <f t="shared" si="40"/>
        <v>0</v>
      </c>
      <c r="BO100" s="537">
        <f t="shared" si="40"/>
        <v>0</v>
      </c>
      <c r="BP100" s="537">
        <f t="shared" si="40"/>
        <v>0</v>
      </c>
      <c r="BQ100" s="537">
        <f t="shared" si="40"/>
        <v>1</v>
      </c>
      <c r="BR100" s="537">
        <f t="shared" si="40"/>
        <v>0</v>
      </c>
      <c r="BS100" s="537">
        <f t="shared" si="40"/>
        <v>0</v>
      </c>
      <c r="BT100" s="537">
        <f t="shared" si="40"/>
        <v>0</v>
      </c>
      <c r="BU100" s="537">
        <f t="shared" si="40"/>
        <v>1</v>
      </c>
      <c r="BV100" s="537">
        <f t="shared" si="40"/>
        <v>0</v>
      </c>
      <c r="BW100" s="537">
        <f t="shared" si="40"/>
        <v>0</v>
      </c>
      <c r="BX100" s="537">
        <f t="shared" si="40"/>
        <v>0</v>
      </c>
      <c r="BY100" s="537">
        <f t="shared" si="40"/>
        <v>1</v>
      </c>
      <c r="BZ100" s="537">
        <f t="shared" si="40"/>
        <v>0</v>
      </c>
      <c r="CA100" s="537">
        <f t="shared" si="40"/>
        <v>0</v>
      </c>
      <c r="CB100" s="537">
        <f t="shared" si="40"/>
        <v>0</v>
      </c>
      <c r="CC100" s="537">
        <f t="shared" si="40"/>
        <v>1</v>
      </c>
      <c r="CD100" s="537">
        <f t="shared" si="40"/>
        <v>0</v>
      </c>
      <c r="CE100" s="537">
        <f t="shared" si="40"/>
        <v>0</v>
      </c>
      <c r="CF100" s="537">
        <f t="shared" si="40"/>
        <v>0</v>
      </c>
      <c r="CG100" s="537">
        <f t="shared" si="40"/>
        <v>1</v>
      </c>
      <c r="CH100" s="537">
        <f t="shared" si="40"/>
        <v>0</v>
      </c>
      <c r="CI100" s="537">
        <f t="shared" si="40"/>
        <v>0</v>
      </c>
      <c r="CJ100" s="537">
        <f t="shared" si="40"/>
        <v>0</v>
      </c>
      <c r="CK100" s="537">
        <f t="shared" si="40"/>
        <v>1</v>
      </c>
      <c r="CL100" s="537">
        <f t="shared" si="40"/>
        <v>0</v>
      </c>
      <c r="CM100" s="537">
        <f t="shared" si="40"/>
        <v>0</v>
      </c>
      <c r="CN100" s="537">
        <f t="shared" si="40"/>
        <v>0</v>
      </c>
      <c r="CO100" s="537">
        <f t="shared" si="40"/>
        <v>1</v>
      </c>
      <c r="CP100" s="537">
        <f t="shared" si="40"/>
        <v>0</v>
      </c>
      <c r="CQ100" s="537">
        <f t="shared" si="40"/>
        <v>0</v>
      </c>
      <c r="CR100" s="537">
        <f t="shared" si="40"/>
        <v>0</v>
      </c>
      <c r="CS100" s="537">
        <f t="shared" si="40"/>
        <v>1</v>
      </c>
      <c r="CT100" s="537">
        <f t="shared" si="40"/>
        <v>0</v>
      </c>
      <c r="CU100" s="537">
        <f t="shared" si="40"/>
        <v>0</v>
      </c>
      <c r="CV100" s="537">
        <f t="shared" si="40"/>
        <v>0</v>
      </c>
      <c r="CW100" s="537">
        <f t="shared" si="40"/>
        <v>1</v>
      </c>
      <c r="CX100" s="537">
        <f t="shared" si="40"/>
        <v>0</v>
      </c>
      <c r="CY100" s="537">
        <f t="shared" si="40"/>
        <v>0</v>
      </c>
      <c r="CZ100" s="537">
        <f t="shared" si="40"/>
        <v>0</v>
      </c>
      <c r="DA100" s="537">
        <f t="shared" si="40"/>
        <v>1</v>
      </c>
      <c r="DB100" s="537">
        <f t="shared" si="40"/>
        <v>0</v>
      </c>
      <c r="DC100" s="537">
        <f t="shared" si="40"/>
        <v>0</v>
      </c>
      <c r="DD100" s="537">
        <f t="shared" si="40"/>
        <v>0</v>
      </c>
      <c r="DE100" s="537">
        <f t="shared" si="40"/>
        <v>1</v>
      </c>
      <c r="DF100" s="537">
        <f t="shared" si="40"/>
        <v>0</v>
      </c>
      <c r="DG100" s="537">
        <f t="shared" si="40"/>
        <v>0</v>
      </c>
      <c r="DH100" s="537">
        <f t="shared" si="40"/>
        <v>0</v>
      </c>
      <c r="DI100" s="537">
        <f t="shared" si="40"/>
        <v>1</v>
      </c>
      <c r="DJ100" s="537">
        <f t="shared" si="40"/>
        <v>0</v>
      </c>
      <c r="DK100" s="537">
        <f t="shared" si="40"/>
        <v>0</v>
      </c>
      <c r="DL100" s="537">
        <f t="shared" si="40"/>
        <v>0</v>
      </c>
      <c r="DM100" s="537">
        <f t="shared" si="40"/>
        <v>1</v>
      </c>
      <c r="DN100" s="537">
        <f t="shared" si="40"/>
        <v>0</v>
      </c>
      <c r="DO100" s="537">
        <f t="shared" si="40"/>
        <v>0</v>
      </c>
      <c r="DP100" s="537">
        <f t="shared" si="40"/>
        <v>0</v>
      </c>
      <c r="DQ100" s="537">
        <f t="shared" si="40"/>
        <v>1</v>
      </c>
      <c r="DR100" s="537">
        <f t="shared" si="40"/>
        <v>0</v>
      </c>
      <c r="DS100" s="537">
        <f t="shared" si="40"/>
        <v>0</v>
      </c>
      <c r="DT100" s="537">
        <f t="shared" si="40"/>
        <v>0</v>
      </c>
      <c r="DU100" s="537">
        <f t="shared" si="40"/>
        <v>1</v>
      </c>
      <c r="DV100" s="537">
        <f t="shared" si="40"/>
        <v>0</v>
      </c>
      <c r="DW100" s="537">
        <f t="shared" si="40"/>
        <v>0</v>
      </c>
      <c r="DX100" s="537">
        <f t="shared" si="40"/>
        <v>0</v>
      </c>
      <c r="DY100" s="537">
        <f t="shared" si="40"/>
        <v>1</v>
      </c>
      <c r="DZ100" s="537">
        <f t="shared" si="40"/>
        <v>0</v>
      </c>
      <c r="EA100" s="537">
        <f t="shared" si="40"/>
        <v>0</v>
      </c>
      <c r="EB100" s="537">
        <f t="shared" si="40"/>
        <v>0</v>
      </c>
      <c r="EC100" s="537">
        <f t="shared" si="40"/>
        <v>1</v>
      </c>
      <c r="ED100" s="537">
        <f t="shared" si="40"/>
        <v>0</v>
      </c>
      <c r="EE100" s="537">
        <f t="shared" si="40"/>
        <v>0</v>
      </c>
      <c r="EF100" s="537">
        <f t="shared" si="40"/>
        <v>0</v>
      </c>
      <c r="EG100" s="537">
        <f t="shared" si="40"/>
        <v>1</v>
      </c>
      <c r="EH100" s="537">
        <f t="shared" si="40"/>
        <v>0</v>
      </c>
      <c r="EI100" s="537">
        <f t="shared" si="40"/>
        <v>0</v>
      </c>
      <c r="EJ100" s="537">
        <f t="shared" si="40"/>
        <v>0</v>
      </c>
      <c r="EK100" s="537">
        <f t="shared" si="40"/>
        <v>1</v>
      </c>
      <c r="EL100" s="537">
        <f t="shared" si="40"/>
        <v>0</v>
      </c>
      <c r="EM100" s="537">
        <f t="shared" si="40"/>
        <v>0</v>
      </c>
      <c r="EN100" s="537">
        <f t="shared" si="40"/>
        <v>0</v>
      </c>
      <c r="EO100" s="537">
        <f t="shared" si="40"/>
        <v>1</v>
      </c>
      <c r="EP100" s="537">
        <f t="shared" si="40"/>
        <v>0</v>
      </c>
      <c r="EQ100" s="537">
        <f t="shared" si="40"/>
        <v>0</v>
      </c>
      <c r="ER100" s="537">
        <f t="shared" si="40"/>
        <v>0</v>
      </c>
      <c r="ES100" s="537">
        <f t="shared" si="40"/>
        <v>1</v>
      </c>
      <c r="ET100" s="537">
        <f t="shared" si="40"/>
        <v>0</v>
      </c>
      <c r="EU100" s="537">
        <f t="shared" si="40"/>
        <v>0</v>
      </c>
      <c r="EV100" s="537">
        <f t="shared" si="40"/>
        <v>0</v>
      </c>
      <c r="EW100" s="537">
        <f t="shared" si="40"/>
        <v>1</v>
      </c>
      <c r="EX100" s="537">
        <f t="shared" si="40"/>
        <v>0</v>
      </c>
      <c r="EY100" s="537">
        <f t="shared" si="40"/>
        <v>0</v>
      </c>
      <c r="EZ100" s="537">
        <f t="shared" si="40"/>
        <v>0</v>
      </c>
      <c r="FA100" s="537">
        <f t="shared" si="40"/>
        <v>1</v>
      </c>
      <c r="FB100" s="537">
        <f t="shared" si="40"/>
        <v>0</v>
      </c>
      <c r="FC100" s="537">
        <f t="shared" si="40"/>
        <v>0</v>
      </c>
      <c r="FD100" s="537">
        <f t="shared" si="40"/>
        <v>0</v>
      </c>
      <c r="FE100" s="537">
        <f t="shared" si="40"/>
        <v>1</v>
      </c>
      <c r="FF100" s="537">
        <f t="shared" si="40"/>
        <v>0</v>
      </c>
      <c r="FG100" s="537">
        <f t="shared" si="40"/>
        <v>0</v>
      </c>
      <c r="FH100" s="537">
        <f t="shared" si="40"/>
        <v>0</v>
      </c>
      <c r="FI100" s="537">
        <f t="shared" si="40"/>
        <v>1</v>
      </c>
      <c r="FJ100" s="537">
        <f t="shared" si="40"/>
        <v>0</v>
      </c>
      <c r="FK100" s="537">
        <f t="shared" si="40"/>
        <v>0</v>
      </c>
      <c r="FL100" s="537">
        <f t="shared" si="40"/>
        <v>0</v>
      </c>
      <c r="FM100" s="537">
        <f t="shared" si="40"/>
        <v>1</v>
      </c>
      <c r="FN100" s="537">
        <f t="shared" si="40"/>
        <v>0</v>
      </c>
      <c r="FO100" s="537">
        <f t="shared" si="40"/>
        <v>0</v>
      </c>
      <c r="FP100" s="537">
        <f t="shared" si="40"/>
        <v>0</v>
      </c>
      <c r="FQ100" s="537">
        <f t="shared" si="40"/>
        <v>1</v>
      </c>
      <c r="FR100" s="537">
        <f t="shared" si="40"/>
        <v>0</v>
      </c>
      <c r="FS100" s="537">
        <f t="shared" si="40"/>
        <v>0</v>
      </c>
      <c r="FT100" s="537">
        <f t="shared" si="40"/>
        <v>0</v>
      </c>
      <c r="FU100" s="537">
        <f t="shared" si="40"/>
        <v>1</v>
      </c>
      <c r="FV100" s="537">
        <f t="shared" si="40"/>
        <v>0</v>
      </c>
      <c r="FW100" s="537">
        <f t="shared" si="40"/>
        <v>0</v>
      </c>
      <c r="FX100" s="537">
        <f t="shared" si="40"/>
        <v>0</v>
      </c>
      <c r="FY100" s="537">
        <f t="shared" si="40"/>
        <v>1</v>
      </c>
      <c r="FZ100" s="537">
        <f t="shared" si="40"/>
        <v>0</v>
      </c>
      <c r="GA100" s="537">
        <f t="shared" si="40"/>
        <v>0</v>
      </c>
      <c r="GB100" s="537">
        <f t="shared" si="40"/>
        <v>0</v>
      </c>
      <c r="GC100" s="537">
        <f t="shared" si="40"/>
        <v>1</v>
      </c>
      <c r="GD100" s="537">
        <f t="shared" si="40"/>
        <v>0</v>
      </c>
      <c r="GE100" s="537">
        <f t="shared" si="40"/>
        <v>0</v>
      </c>
      <c r="GF100" s="537">
        <f t="shared" si="40"/>
        <v>0</v>
      </c>
      <c r="GG100" s="537">
        <f t="shared" si="40"/>
        <v>1</v>
      </c>
      <c r="GH100" s="537">
        <f t="shared" si="40"/>
        <v>0</v>
      </c>
      <c r="GI100" s="537">
        <f t="shared" si="40"/>
        <v>0</v>
      </c>
      <c r="GJ100" s="537">
        <f t="shared" si="40"/>
        <v>0</v>
      </c>
    </row>
    <row r="102" spans="2:2" ht="12.75">
      <c r="B102" s="534" t="s">
        <v>41</v>
      </c>
    </row>
    <row r="103" spans="5:7" ht="12.75">
      <c r="E103" s="535" t="str">
        <f>E$21</f>
        <v>End of construction period date</v>
      </c>
      <c r="F103" s="540">
        <f>F$21</f>
        <v>46934</v>
      </c>
      <c r="G103" s="540" t="str">
        <f>G$21</f>
        <v>date</v>
      </c>
    </row>
    <row r="104" spans="5:7" ht="12.75">
      <c r="E104" s="535" t="s">
        <v>71</v>
      </c>
      <c r="F104" s="537">
        <f>MONTH($F103)</f>
        <v>6</v>
      </c>
      <c r="G104" s="537" t="s">
        <v>22</v>
      </c>
    </row>
    <row r="106" spans="5:7" ht="12.75">
      <c r="E106" s="546" t="str">
        <f>InpC!E$17</f>
        <v>Financial year end month number</v>
      </c>
      <c r="F106" s="548">
        <f>InpC!F$17</f>
        <v>12</v>
      </c>
      <c r="G106" s="548" t="str">
        <f>InpC!G$17</f>
        <v>month #</v>
      </c>
    </row>
    <row r="107" spans="5:192" ht="12.75">
      <c r="E107" s="535" t="str">
        <f>E$50</f>
        <v>Model period ending</v>
      </c>
      <c r="G107" s="540" t="str">
        <f>G$50</f>
        <v>date</v>
      </c>
      <c r="J107" s="540">
        <f t="shared" si="41" ref="J107:GJ107">J$50</f>
        <v>46053</v>
      </c>
      <c r="K107" s="540">
        <f t="shared" si="41"/>
        <v>46081</v>
      </c>
      <c r="L107" s="540">
        <f t="shared" si="41"/>
        <v>46112</v>
      </c>
      <c r="M107" s="540">
        <f t="shared" si="41"/>
        <v>46142</v>
      </c>
      <c r="N107" s="540">
        <f t="shared" si="41"/>
        <v>46173</v>
      </c>
      <c r="O107" s="540">
        <f t="shared" si="41"/>
        <v>46203</v>
      </c>
      <c r="P107" s="540">
        <f t="shared" si="41"/>
        <v>46234</v>
      </c>
      <c r="Q107" s="540">
        <f t="shared" si="41"/>
        <v>46265</v>
      </c>
      <c r="R107" s="540">
        <f t="shared" si="41"/>
        <v>46295</v>
      </c>
      <c r="S107" s="540">
        <f t="shared" si="41"/>
        <v>46326</v>
      </c>
      <c r="T107" s="540">
        <f t="shared" si="41"/>
        <v>46356</v>
      </c>
      <c r="U107" s="540">
        <f t="shared" si="41"/>
        <v>46387</v>
      </c>
      <c r="V107" s="540">
        <f t="shared" si="41"/>
        <v>46418</v>
      </c>
      <c r="W107" s="540">
        <f t="shared" si="41"/>
        <v>46446</v>
      </c>
      <c r="X107" s="540">
        <f t="shared" si="41"/>
        <v>46477</v>
      </c>
      <c r="Y107" s="540">
        <f t="shared" si="41"/>
        <v>46507</v>
      </c>
      <c r="Z107" s="540">
        <f t="shared" si="41"/>
        <v>46538</v>
      </c>
      <c r="AA107" s="540">
        <f t="shared" si="41"/>
        <v>46568</v>
      </c>
      <c r="AB107" s="540">
        <f t="shared" si="41"/>
        <v>46599</v>
      </c>
      <c r="AC107" s="540">
        <f t="shared" si="41"/>
        <v>46630</v>
      </c>
      <c r="AD107" s="540">
        <f t="shared" si="41"/>
        <v>46660</v>
      </c>
      <c r="AE107" s="540">
        <f t="shared" si="41"/>
        <v>46691</v>
      </c>
      <c r="AF107" s="540">
        <f t="shared" si="41"/>
        <v>46721</v>
      </c>
      <c r="AG107" s="540">
        <f t="shared" si="41"/>
        <v>46752</v>
      </c>
      <c r="AH107" s="540">
        <f t="shared" si="41"/>
        <v>46783</v>
      </c>
      <c r="AI107" s="540">
        <f t="shared" si="41"/>
        <v>46812</v>
      </c>
      <c r="AJ107" s="540">
        <f t="shared" si="41"/>
        <v>46843</v>
      </c>
      <c r="AK107" s="540">
        <f t="shared" si="41"/>
        <v>46873</v>
      </c>
      <c r="AL107" s="540">
        <f t="shared" si="41"/>
        <v>46904</v>
      </c>
      <c r="AM107" s="540">
        <f t="shared" si="41"/>
        <v>46934</v>
      </c>
      <c r="AN107" s="540">
        <f t="shared" si="41"/>
        <v>47026</v>
      </c>
      <c r="AO107" s="540">
        <f t="shared" si="41"/>
        <v>47118</v>
      </c>
      <c r="AP107" s="540">
        <f t="shared" si="41"/>
        <v>47208</v>
      </c>
      <c r="AQ107" s="540">
        <f t="shared" si="41"/>
        <v>47299</v>
      </c>
      <c r="AR107" s="540">
        <f t="shared" si="41"/>
        <v>47391</v>
      </c>
      <c r="AS107" s="540">
        <f t="shared" si="41"/>
        <v>47483</v>
      </c>
      <c r="AT107" s="540">
        <f t="shared" si="41"/>
        <v>47573</v>
      </c>
      <c r="AU107" s="540">
        <f t="shared" si="41"/>
        <v>47664</v>
      </c>
      <c r="AV107" s="540">
        <f t="shared" si="41"/>
        <v>47756</v>
      </c>
      <c r="AW107" s="540">
        <f t="shared" si="41"/>
        <v>47848</v>
      </c>
      <c r="AX107" s="540">
        <f t="shared" si="41"/>
        <v>47938</v>
      </c>
      <c r="AY107" s="540">
        <f t="shared" si="41"/>
        <v>48029</v>
      </c>
      <c r="AZ107" s="540">
        <f t="shared" si="41"/>
        <v>48121</v>
      </c>
      <c r="BA107" s="540">
        <f t="shared" si="41"/>
        <v>48213</v>
      </c>
      <c r="BB107" s="540">
        <f t="shared" si="41"/>
        <v>48304</v>
      </c>
      <c r="BC107" s="540">
        <f t="shared" si="41"/>
        <v>48395</v>
      </c>
      <c r="BD107" s="540">
        <f t="shared" si="41"/>
        <v>48487</v>
      </c>
      <c r="BE107" s="540">
        <f t="shared" si="41"/>
        <v>48579</v>
      </c>
      <c r="BF107" s="540">
        <f t="shared" si="41"/>
        <v>48669</v>
      </c>
      <c r="BG107" s="540">
        <f t="shared" si="41"/>
        <v>48760</v>
      </c>
      <c r="BH107" s="540">
        <f t="shared" si="41"/>
        <v>48852</v>
      </c>
      <c r="BI107" s="540">
        <f t="shared" si="41"/>
        <v>48944</v>
      </c>
      <c r="BJ107" s="540">
        <f t="shared" si="41"/>
        <v>49034</v>
      </c>
      <c r="BK107" s="540">
        <f t="shared" si="41"/>
        <v>49125</v>
      </c>
      <c r="BL107" s="540">
        <f t="shared" si="41"/>
        <v>49217</v>
      </c>
      <c r="BM107" s="540">
        <f t="shared" si="41"/>
        <v>49309</v>
      </c>
      <c r="BN107" s="540">
        <f t="shared" si="41"/>
        <v>49399</v>
      </c>
      <c r="BO107" s="540">
        <f t="shared" si="41"/>
        <v>49490</v>
      </c>
      <c r="BP107" s="540">
        <f t="shared" si="41"/>
        <v>49582</v>
      </c>
      <c r="BQ107" s="540">
        <f t="shared" si="41"/>
        <v>49674</v>
      </c>
      <c r="BR107" s="540">
        <f t="shared" si="41"/>
        <v>49765</v>
      </c>
      <c r="BS107" s="540">
        <f t="shared" si="41"/>
        <v>49856</v>
      </c>
      <c r="BT107" s="540">
        <f t="shared" si="41"/>
        <v>49948</v>
      </c>
      <c r="BU107" s="540">
        <f t="shared" si="41"/>
        <v>50040</v>
      </c>
      <c r="BV107" s="540">
        <f t="shared" si="41"/>
        <v>50130</v>
      </c>
      <c r="BW107" s="540">
        <f t="shared" si="41"/>
        <v>50221</v>
      </c>
      <c r="BX107" s="540">
        <f t="shared" si="41"/>
        <v>50313</v>
      </c>
      <c r="BY107" s="540">
        <f t="shared" si="41"/>
        <v>50405</v>
      </c>
      <c r="BZ107" s="540">
        <f t="shared" si="41"/>
        <v>50495</v>
      </c>
      <c r="CA107" s="540">
        <f t="shared" si="41"/>
        <v>50586</v>
      </c>
      <c r="CB107" s="540">
        <f t="shared" si="41"/>
        <v>50678</v>
      </c>
      <c r="CC107" s="540">
        <f t="shared" si="41"/>
        <v>50770</v>
      </c>
      <c r="CD107" s="540">
        <f t="shared" si="41"/>
        <v>50860</v>
      </c>
      <c r="CE107" s="540">
        <f t="shared" si="41"/>
        <v>50951</v>
      </c>
      <c r="CF107" s="540">
        <f t="shared" si="41"/>
        <v>51043</v>
      </c>
      <c r="CG107" s="540">
        <f t="shared" si="41"/>
        <v>51135</v>
      </c>
      <c r="CH107" s="540">
        <f t="shared" si="41"/>
        <v>51226</v>
      </c>
      <c r="CI107" s="540">
        <f t="shared" si="41"/>
        <v>51317</v>
      </c>
      <c r="CJ107" s="540">
        <f t="shared" si="41"/>
        <v>51409</v>
      </c>
      <c r="CK107" s="540">
        <f t="shared" si="41"/>
        <v>51501</v>
      </c>
      <c r="CL107" s="540">
        <f t="shared" si="41"/>
        <v>51591</v>
      </c>
      <c r="CM107" s="540">
        <f t="shared" si="41"/>
        <v>51682</v>
      </c>
      <c r="CN107" s="540">
        <f t="shared" si="41"/>
        <v>51774</v>
      </c>
      <c r="CO107" s="540">
        <f t="shared" si="41"/>
        <v>51866</v>
      </c>
      <c r="CP107" s="540">
        <f t="shared" si="41"/>
        <v>51956</v>
      </c>
      <c r="CQ107" s="540">
        <f t="shared" si="41"/>
        <v>52047</v>
      </c>
      <c r="CR107" s="540">
        <f t="shared" si="41"/>
        <v>52139</v>
      </c>
      <c r="CS107" s="540">
        <f t="shared" si="41"/>
        <v>52231</v>
      </c>
      <c r="CT107" s="540">
        <f t="shared" si="41"/>
        <v>52321</v>
      </c>
      <c r="CU107" s="540">
        <f t="shared" si="41"/>
        <v>52412</v>
      </c>
      <c r="CV107" s="540">
        <f t="shared" si="41"/>
        <v>52504</v>
      </c>
      <c r="CW107" s="540">
        <f t="shared" si="41"/>
        <v>52596</v>
      </c>
      <c r="CX107" s="540">
        <f t="shared" si="41"/>
        <v>52687</v>
      </c>
      <c r="CY107" s="540">
        <f t="shared" si="41"/>
        <v>52778</v>
      </c>
      <c r="CZ107" s="540">
        <f t="shared" si="41"/>
        <v>52870</v>
      </c>
      <c r="DA107" s="540">
        <f t="shared" si="41"/>
        <v>52962</v>
      </c>
      <c r="DB107" s="540">
        <f t="shared" si="41"/>
        <v>53052</v>
      </c>
      <c r="DC107" s="540">
        <f t="shared" si="41"/>
        <v>53143</v>
      </c>
      <c r="DD107" s="540">
        <f t="shared" si="41"/>
        <v>53235</v>
      </c>
      <c r="DE107" s="540">
        <f t="shared" si="41"/>
        <v>53327</v>
      </c>
      <c r="DF107" s="540">
        <f t="shared" si="41"/>
        <v>53417</v>
      </c>
      <c r="DG107" s="540">
        <f t="shared" si="41"/>
        <v>53508</v>
      </c>
      <c r="DH107" s="540">
        <f t="shared" si="41"/>
        <v>53600</v>
      </c>
      <c r="DI107" s="540">
        <f t="shared" si="41"/>
        <v>53692</v>
      </c>
      <c r="DJ107" s="540">
        <f t="shared" si="41"/>
        <v>53782</v>
      </c>
      <c r="DK107" s="540">
        <f t="shared" si="41"/>
        <v>53873</v>
      </c>
      <c r="DL107" s="540">
        <f t="shared" si="41"/>
        <v>53965</v>
      </c>
      <c r="DM107" s="540">
        <f t="shared" si="41"/>
        <v>54057</v>
      </c>
      <c r="DN107" s="540">
        <f t="shared" si="41"/>
        <v>54148</v>
      </c>
      <c r="DO107" s="540">
        <f t="shared" si="41"/>
        <v>54239</v>
      </c>
      <c r="DP107" s="540">
        <f t="shared" si="41"/>
        <v>54331</v>
      </c>
      <c r="DQ107" s="540">
        <f t="shared" si="41"/>
        <v>54423</v>
      </c>
      <c r="DR107" s="540">
        <f t="shared" si="41"/>
        <v>54513</v>
      </c>
      <c r="DS107" s="540">
        <f t="shared" si="41"/>
        <v>54604</v>
      </c>
      <c r="DT107" s="540">
        <f t="shared" si="41"/>
        <v>54696</v>
      </c>
      <c r="DU107" s="540">
        <f t="shared" si="41"/>
        <v>54788</v>
      </c>
      <c r="DV107" s="540">
        <f t="shared" si="41"/>
        <v>54878</v>
      </c>
      <c r="DW107" s="540">
        <f t="shared" si="41"/>
        <v>54969</v>
      </c>
      <c r="DX107" s="540">
        <f t="shared" si="41"/>
        <v>55061</v>
      </c>
      <c r="DY107" s="540">
        <f t="shared" si="41"/>
        <v>55153</v>
      </c>
      <c r="DZ107" s="540">
        <f t="shared" si="41"/>
        <v>55243</v>
      </c>
      <c r="EA107" s="540">
        <f t="shared" si="41"/>
        <v>55334</v>
      </c>
      <c r="EB107" s="540">
        <f t="shared" si="41"/>
        <v>55426</v>
      </c>
      <c r="EC107" s="540">
        <f t="shared" si="41"/>
        <v>55518</v>
      </c>
      <c r="ED107" s="540">
        <f t="shared" si="41"/>
        <v>55609</v>
      </c>
      <c r="EE107" s="540">
        <f t="shared" si="41"/>
        <v>55700</v>
      </c>
      <c r="EF107" s="540">
        <f t="shared" si="41"/>
        <v>55792</v>
      </c>
      <c r="EG107" s="540">
        <f t="shared" si="41"/>
        <v>55884</v>
      </c>
      <c r="EH107" s="540">
        <f t="shared" si="41"/>
        <v>55974</v>
      </c>
      <c r="EI107" s="540">
        <f t="shared" si="41"/>
        <v>56065</v>
      </c>
      <c r="EJ107" s="540">
        <f t="shared" si="41"/>
        <v>56157</v>
      </c>
      <c r="EK107" s="540">
        <f t="shared" si="41"/>
        <v>56249</v>
      </c>
      <c r="EL107" s="540">
        <f t="shared" si="41"/>
        <v>56339</v>
      </c>
      <c r="EM107" s="540">
        <f t="shared" si="41"/>
        <v>56430</v>
      </c>
      <c r="EN107" s="540">
        <f t="shared" si="41"/>
        <v>56522</v>
      </c>
      <c r="EO107" s="540">
        <f t="shared" si="41"/>
        <v>56614</v>
      </c>
      <c r="EP107" s="540">
        <f t="shared" si="41"/>
        <v>56704</v>
      </c>
      <c r="EQ107" s="540">
        <f t="shared" si="41"/>
        <v>56795</v>
      </c>
      <c r="ER107" s="540">
        <f t="shared" si="41"/>
        <v>56887</v>
      </c>
      <c r="ES107" s="540">
        <f t="shared" si="41"/>
        <v>56979</v>
      </c>
      <c r="ET107" s="540">
        <f t="shared" si="41"/>
        <v>57070</v>
      </c>
      <c r="EU107" s="540">
        <f t="shared" si="41"/>
        <v>57161</v>
      </c>
      <c r="EV107" s="540">
        <f t="shared" si="41"/>
        <v>57253</v>
      </c>
      <c r="EW107" s="540">
        <f t="shared" si="41"/>
        <v>57345</v>
      </c>
      <c r="EX107" s="540">
        <f t="shared" si="41"/>
        <v>57435</v>
      </c>
      <c r="EY107" s="540">
        <f t="shared" si="41"/>
        <v>57526</v>
      </c>
      <c r="EZ107" s="540">
        <f t="shared" si="41"/>
        <v>57618</v>
      </c>
      <c r="FA107" s="540">
        <f t="shared" si="41"/>
        <v>57710</v>
      </c>
      <c r="FB107" s="540">
        <f t="shared" si="41"/>
        <v>57800</v>
      </c>
      <c r="FC107" s="540">
        <f t="shared" si="41"/>
        <v>57891</v>
      </c>
      <c r="FD107" s="540">
        <f t="shared" si="41"/>
        <v>57983</v>
      </c>
      <c r="FE107" s="540">
        <f t="shared" si="41"/>
        <v>58075</v>
      </c>
      <c r="FF107" s="540">
        <f t="shared" si="41"/>
        <v>58165</v>
      </c>
      <c r="FG107" s="540">
        <f t="shared" si="41"/>
        <v>58256</v>
      </c>
      <c r="FH107" s="540">
        <f t="shared" si="41"/>
        <v>58348</v>
      </c>
      <c r="FI107" s="540">
        <f t="shared" si="41"/>
        <v>58440</v>
      </c>
      <c r="FJ107" s="540">
        <f t="shared" si="41"/>
        <v>58531</v>
      </c>
      <c r="FK107" s="540">
        <f t="shared" si="41"/>
        <v>58622</v>
      </c>
      <c r="FL107" s="540">
        <f t="shared" si="41"/>
        <v>58714</v>
      </c>
      <c r="FM107" s="540">
        <f t="shared" si="41"/>
        <v>58806</v>
      </c>
      <c r="FN107" s="540">
        <f t="shared" si="41"/>
        <v>58896</v>
      </c>
      <c r="FO107" s="540">
        <f t="shared" si="41"/>
        <v>58987</v>
      </c>
      <c r="FP107" s="540">
        <f t="shared" si="41"/>
        <v>59079</v>
      </c>
      <c r="FQ107" s="540">
        <f t="shared" si="41"/>
        <v>59171</v>
      </c>
      <c r="FR107" s="540">
        <f t="shared" si="41"/>
        <v>59261</v>
      </c>
      <c r="FS107" s="540">
        <f t="shared" si="41"/>
        <v>59352</v>
      </c>
      <c r="FT107" s="540">
        <f t="shared" si="41"/>
        <v>59444</v>
      </c>
      <c r="FU107" s="540">
        <f t="shared" si="41"/>
        <v>59536</v>
      </c>
      <c r="FV107" s="540">
        <f t="shared" si="41"/>
        <v>59626</v>
      </c>
      <c r="FW107" s="540">
        <f t="shared" si="41"/>
        <v>59717</v>
      </c>
      <c r="FX107" s="540">
        <f t="shared" si="41"/>
        <v>59809</v>
      </c>
      <c r="FY107" s="540">
        <f t="shared" si="41"/>
        <v>59901</v>
      </c>
      <c r="FZ107" s="540">
        <f t="shared" si="41"/>
        <v>59992</v>
      </c>
      <c r="GA107" s="540">
        <f t="shared" si="41"/>
        <v>60083</v>
      </c>
      <c r="GB107" s="540">
        <f t="shared" si="41"/>
        <v>60175</v>
      </c>
      <c r="GC107" s="540">
        <f t="shared" si="41"/>
        <v>60267</v>
      </c>
      <c r="GD107" s="540">
        <f t="shared" si="41"/>
        <v>60357</v>
      </c>
      <c r="GE107" s="540">
        <f t="shared" si="41"/>
        <v>60448</v>
      </c>
      <c r="GF107" s="540">
        <f t="shared" si="41"/>
        <v>60540</v>
      </c>
      <c r="GG107" s="540">
        <f t="shared" si="41"/>
        <v>60632</v>
      </c>
      <c r="GH107" s="540">
        <f t="shared" si="41"/>
        <v>60722</v>
      </c>
      <c r="GI107" s="540">
        <f t="shared" si="41"/>
        <v>60813</v>
      </c>
      <c r="GJ107" s="540">
        <f t="shared" si="41"/>
        <v>60905</v>
      </c>
    </row>
    <row r="108" spans="5:192" ht="12.75">
      <c r="E108" s="535" t="s">
        <v>72</v>
      </c>
      <c r="G108" s="537" t="s">
        <v>50</v>
      </c>
      <c r="H108" s="537">
        <f>SUM(J108:GJ108)</f>
        <v>40</v>
      </c>
      <c r="J108" s="537">
        <f t="shared" si="42" ref="J108:GJ108">IF(MONTH(J107)=$F106,1,0)</f>
        <v>0</v>
      </c>
      <c r="K108" s="537">
        <f t="shared" si="42"/>
        <v>0</v>
      </c>
      <c r="L108" s="537">
        <f t="shared" si="42"/>
        <v>0</v>
      </c>
      <c r="M108" s="537">
        <f t="shared" si="42"/>
        <v>0</v>
      </c>
      <c r="N108" s="537">
        <f t="shared" si="42"/>
        <v>0</v>
      </c>
      <c r="O108" s="537">
        <f t="shared" si="42"/>
        <v>0</v>
      </c>
      <c r="P108" s="537">
        <f t="shared" si="42"/>
        <v>0</v>
      </c>
      <c r="Q108" s="537">
        <f t="shared" si="42"/>
        <v>0</v>
      </c>
      <c r="R108" s="537">
        <f t="shared" si="42"/>
        <v>0</v>
      </c>
      <c r="S108" s="537">
        <f t="shared" si="42"/>
        <v>0</v>
      </c>
      <c r="T108" s="537">
        <f t="shared" si="42"/>
        <v>0</v>
      </c>
      <c r="U108" s="537">
        <f t="shared" si="42"/>
        <v>1</v>
      </c>
      <c r="V108" s="537">
        <f t="shared" si="42"/>
        <v>0</v>
      </c>
      <c r="W108" s="537">
        <f t="shared" si="42"/>
        <v>0</v>
      </c>
      <c r="X108" s="537">
        <f t="shared" si="42"/>
        <v>0</v>
      </c>
      <c r="Y108" s="537">
        <f t="shared" si="42"/>
        <v>0</v>
      </c>
      <c r="Z108" s="537">
        <f t="shared" si="42"/>
        <v>0</v>
      </c>
      <c r="AA108" s="537">
        <f t="shared" si="42"/>
        <v>0</v>
      </c>
      <c r="AB108" s="537">
        <f t="shared" si="42"/>
        <v>0</v>
      </c>
      <c r="AC108" s="537">
        <f t="shared" si="42"/>
        <v>0</v>
      </c>
      <c r="AD108" s="537">
        <f t="shared" si="42"/>
        <v>0</v>
      </c>
      <c r="AE108" s="537">
        <f t="shared" si="42"/>
        <v>0</v>
      </c>
      <c r="AF108" s="537">
        <f t="shared" si="42"/>
        <v>0</v>
      </c>
      <c r="AG108" s="537">
        <f t="shared" si="42"/>
        <v>1</v>
      </c>
      <c r="AH108" s="537">
        <f t="shared" si="42"/>
        <v>0</v>
      </c>
      <c r="AI108" s="537">
        <f t="shared" si="42"/>
        <v>0</v>
      </c>
      <c r="AJ108" s="537">
        <f t="shared" si="42"/>
        <v>0</v>
      </c>
      <c r="AK108" s="537">
        <f t="shared" si="42"/>
        <v>0</v>
      </c>
      <c r="AL108" s="537">
        <f t="shared" si="42"/>
        <v>0</v>
      </c>
      <c r="AM108" s="537">
        <f t="shared" si="42"/>
        <v>0</v>
      </c>
      <c r="AN108" s="537">
        <f t="shared" si="42"/>
        <v>0</v>
      </c>
      <c r="AO108" s="537">
        <f t="shared" si="42"/>
        <v>1</v>
      </c>
      <c r="AP108" s="537">
        <f t="shared" si="42"/>
        <v>0</v>
      </c>
      <c r="AQ108" s="537">
        <f t="shared" si="42"/>
        <v>0</v>
      </c>
      <c r="AR108" s="537">
        <f t="shared" si="42"/>
        <v>0</v>
      </c>
      <c r="AS108" s="537">
        <f t="shared" si="42"/>
        <v>1</v>
      </c>
      <c r="AT108" s="537">
        <f t="shared" si="42"/>
        <v>0</v>
      </c>
      <c r="AU108" s="537">
        <f t="shared" si="42"/>
        <v>0</v>
      </c>
      <c r="AV108" s="537">
        <f t="shared" si="42"/>
        <v>0</v>
      </c>
      <c r="AW108" s="537">
        <f t="shared" si="42"/>
        <v>1</v>
      </c>
      <c r="AX108" s="537">
        <f t="shared" si="42"/>
        <v>0</v>
      </c>
      <c r="AY108" s="537">
        <f t="shared" si="42"/>
        <v>0</v>
      </c>
      <c r="AZ108" s="537">
        <f t="shared" si="42"/>
        <v>0</v>
      </c>
      <c r="BA108" s="537">
        <f t="shared" si="42"/>
        <v>1</v>
      </c>
      <c r="BB108" s="537">
        <f t="shared" si="42"/>
        <v>0</v>
      </c>
      <c r="BC108" s="537">
        <f t="shared" si="42"/>
        <v>0</v>
      </c>
      <c r="BD108" s="537">
        <f t="shared" si="42"/>
        <v>0</v>
      </c>
      <c r="BE108" s="537">
        <f t="shared" si="42"/>
        <v>1</v>
      </c>
      <c r="BF108" s="537">
        <f t="shared" si="42"/>
        <v>0</v>
      </c>
      <c r="BG108" s="537">
        <f t="shared" si="42"/>
        <v>0</v>
      </c>
      <c r="BH108" s="537">
        <f t="shared" si="42"/>
        <v>0</v>
      </c>
      <c r="BI108" s="537">
        <f t="shared" si="42"/>
        <v>1</v>
      </c>
      <c r="BJ108" s="537">
        <f t="shared" si="42"/>
        <v>0</v>
      </c>
      <c r="BK108" s="537">
        <f t="shared" si="42"/>
        <v>0</v>
      </c>
      <c r="BL108" s="537">
        <f t="shared" si="42"/>
        <v>0</v>
      </c>
      <c r="BM108" s="537">
        <f t="shared" si="42"/>
        <v>1</v>
      </c>
      <c r="BN108" s="537">
        <f t="shared" si="42"/>
        <v>0</v>
      </c>
      <c r="BO108" s="537">
        <f t="shared" si="42"/>
        <v>0</v>
      </c>
      <c r="BP108" s="537">
        <f t="shared" si="42"/>
        <v>0</v>
      </c>
      <c r="BQ108" s="537">
        <f t="shared" si="42"/>
        <v>1</v>
      </c>
      <c r="BR108" s="537">
        <f t="shared" si="42"/>
        <v>0</v>
      </c>
      <c r="BS108" s="537">
        <f t="shared" si="42"/>
        <v>0</v>
      </c>
      <c r="BT108" s="537">
        <f t="shared" si="42"/>
        <v>0</v>
      </c>
      <c r="BU108" s="537">
        <f t="shared" si="42"/>
        <v>1</v>
      </c>
      <c r="BV108" s="537">
        <f t="shared" si="42"/>
        <v>0</v>
      </c>
      <c r="BW108" s="537">
        <f t="shared" si="42"/>
        <v>0</v>
      </c>
      <c r="BX108" s="537">
        <f t="shared" si="42"/>
        <v>0</v>
      </c>
      <c r="BY108" s="537">
        <f t="shared" si="42"/>
        <v>1</v>
      </c>
      <c r="BZ108" s="537">
        <f t="shared" si="42"/>
        <v>0</v>
      </c>
      <c r="CA108" s="537">
        <f t="shared" si="42"/>
        <v>0</v>
      </c>
      <c r="CB108" s="537">
        <f t="shared" si="42"/>
        <v>0</v>
      </c>
      <c r="CC108" s="537">
        <f t="shared" si="42"/>
        <v>1</v>
      </c>
      <c r="CD108" s="537">
        <f t="shared" si="42"/>
        <v>0</v>
      </c>
      <c r="CE108" s="537">
        <f t="shared" si="42"/>
        <v>0</v>
      </c>
      <c r="CF108" s="537">
        <f t="shared" si="42"/>
        <v>0</v>
      </c>
      <c r="CG108" s="537">
        <f t="shared" si="42"/>
        <v>1</v>
      </c>
      <c r="CH108" s="537">
        <f t="shared" si="42"/>
        <v>0</v>
      </c>
      <c r="CI108" s="537">
        <f t="shared" si="42"/>
        <v>0</v>
      </c>
      <c r="CJ108" s="537">
        <f t="shared" si="42"/>
        <v>0</v>
      </c>
      <c r="CK108" s="537">
        <f t="shared" si="42"/>
        <v>1</v>
      </c>
      <c r="CL108" s="537">
        <f t="shared" si="42"/>
        <v>0</v>
      </c>
      <c r="CM108" s="537">
        <f t="shared" si="42"/>
        <v>0</v>
      </c>
      <c r="CN108" s="537">
        <f t="shared" si="42"/>
        <v>0</v>
      </c>
      <c r="CO108" s="537">
        <f t="shared" si="42"/>
        <v>1</v>
      </c>
      <c r="CP108" s="537">
        <f t="shared" si="42"/>
        <v>0</v>
      </c>
      <c r="CQ108" s="537">
        <f t="shared" si="42"/>
        <v>0</v>
      </c>
      <c r="CR108" s="537">
        <f t="shared" si="42"/>
        <v>0</v>
      </c>
      <c r="CS108" s="537">
        <f t="shared" si="42"/>
        <v>1</v>
      </c>
      <c r="CT108" s="537">
        <f t="shared" si="42"/>
        <v>0</v>
      </c>
      <c r="CU108" s="537">
        <f t="shared" si="42"/>
        <v>0</v>
      </c>
      <c r="CV108" s="537">
        <f t="shared" si="42"/>
        <v>0</v>
      </c>
      <c r="CW108" s="537">
        <f t="shared" si="42"/>
        <v>1</v>
      </c>
      <c r="CX108" s="537">
        <f t="shared" si="42"/>
        <v>0</v>
      </c>
      <c r="CY108" s="537">
        <f t="shared" si="42"/>
        <v>0</v>
      </c>
      <c r="CZ108" s="537">
        <f t="shared" si="42"/>
        <v>0</v>
      </c>
      <c r="DA108" s="537">
        <f t="shared" si="42"/>
        <v>1</v>
      </c>
      <c r="DB108" s="537">
        <f t="shared" si="42"/>
        <v>0</v>
      </c>
      <c r="DC108" s="537">
        <f t="shared" si="42"/>
        <v>0</v>
      </c>
      <c r="DD108" s="537">
        <f t="shared" si="42"/>
        <v>0</v>
      </c>
      <c r="DE108" s="537">
        <f t="shared" si="42"/>
        <v>1</v>
      </c>
      <c r="DF108" s="537">
        <f t="shared" si="42"/>
        <v>0</v>
      </c>
      <c r="DG108" s="537">
        <f t="shared" si="42"/>
        <v>0</v>
      </c>
      <c r="DH108" s="537">
        <f t="shared" si="42"/>
        <v>0</v>
      </c>
      <c r="DI108" s="537">
        <f t="shared" si="42"/>
        <v>1</v>
      </c>
      <c r="DJ108" s="537">
        <f t="shared" si="42"/>
        <v>0</v>
      </c>
      <c r="DK108" s="537">
        <f t="shared" si="42"/>
        <v>0</v>
      </c>
      <c r="DL108" s="537">
        <f t="shared" si="42"/>
        <v>0</v>
      </c>
      <c r="DM108" s="537">
        <f t="shared" si="42"/>
        <v>1</v>
      </c>
      <c r="DN108" s="537">
        <f t="shared" si="42"/>
        <v>0</v>
      </c>
      <c r="DO108" s="537">
        <f t="shared" si="42"/>
        <v>0</v>
      </c>
      <c r="DP108" s="537">
        <f t="shared" si="42"/>
        <v>0</v>
      </c>
      <c r="DQ108" s="537">
        <f t="shared" si="42"/>
        <v>1</v>
      </c>
      <c r="DR108" s="537">
        <f t="shared" si="42"/>
        <v>0</v>
      </c>
      <c r="DS108" s="537">
        <f t="shared" si="42"/>
        <v>0</v>
      </c>
      <c r="DT108" s="537">
        <f t="shared" si="42"/>
        <v>0</v>
      </c>
      <c r="DU108" s="537">
        <f t="shared" si="42"/>
        <v>1</v>
      </c>
      <c r="DV108" s="537">
        <f t="shared" si="42"/>
        <v>0</v>
      </c>
      <c r="DW108" s="537">
        <f t="shared" si="42"/>
        <v>0</v>
      </c>
      <c r="DX108" s="537">
        <f t="shared" si="42"/>
        <v>0</v>
      </c>
      <c r="DY108" s="537">
        <f t="shared" si="42"/>
        <v>1</v>
      </c>
      <c r="DZ108" s="537">
        <f t="shared" si="42"/>
        <v>0</v>
      </c>
      <c r="EA108" s="537">
        <f t="shared" si="42"/>
        <v>0</v>
      </c>
      <c r="EB108" s="537">
        <f t="shared" si="42"/>
        <v>0</v>
      </c>
      <c r="EC108" s="537">
        <f t="shared" si="42"/>
        <v>1</v>
      </c>
      <c r="ED108" s="537">
        <f t="shared" si="42"/>
        <v>0</v>
      </c>
      <c r="EE108" s="537">
        <f t="shared" si="42"/>
        <v>0</v>
      </c>
      <c r="EF108" s="537">
        <f t="shared" si="42"/>
        <v>0</v>
      </c>
      <c r="EG108" s="537">
        <f t="shared" si="42"/>
        <v>1</v>
      </c>
      <c r="EH108" s="537">
        <f t="shared" si="42"/>
        <v>0</v>
      </c>
      <c r="EI108" s="537">
        <f t="shared" si="42"/>
        <v>0</v>
      </c>
      <c r="EJ108" s="537">
        <f t="shared" si="42"/>
        <v>0</v>
      </c>
      <c r="EK108" s="537">
        <f t="shared" si="42"/>
        <v>1</v>
      </c>
      <c r="EL108" s="537">
        <f t="shared" si="42"/>
        <v>0</v>
      </c>
      <c r="EM108" s="537">
        <f t="shared" si="42"/>
        <v>0</v>
      </c>
      <c r="EN108" s="537">
        <f t="shared" si="42"/>
        <v>0</v>
      </c>
      <c r="EO108" s="537">
        <f t="shared" si="42"/>
        <v>1</v>
      </c>
      <c r="EP108" s="537">
        <f t="shared" si="42"/>
        <v>0</v>
      </c>
      <c r="EQ108" s="537">
        <f t="shared" si="42"/>
        <v>0</v>
      </c>
      <c r="ER108" s="537">
        <f t="shared" si="42"/>
        <v>0</v>
      </c>
      <c r="ES108" s="537">
        <f t="shared" si="42"/>
        <v>1</v>
      </c>
      <c r="ET108" s="537">
        <f t="shared" si="42"/>
        <v>0</v>
      </c>
      <c r="EU108" s="537">
        <f t="shared" si="42"/>
        <v>0</v>
      </c>
      <c r="EV108" s="537">
        <f t="shared" si="42"/>
        <v>0</v>
      </c>
      <c r="EW108" s="537">
        <f t="shared" si="42"/>
        <v>1</v>
      </c>
      <c r="EX108" s="537">
        <f t="shared" si="42"/>
        <v>0</v>
      </c>
      <c r="EY108" s="537">
        <f t="shared" si="42"/>
        <v>0</v>
      </c>
      <c r="EZ108" s="537">
        <f t="shared" si="42"/>
        <v>0</v>
      </c>
      <c r="FA108" s="537">
        <f t="shared" si="42"/>
        <v>1</v>
      </c>
      <c r="FB108" s="537">
        <f t="shared" si="42"/>
        <v>0</v>
      </c>
      <c r="FC108" s="537">
        <f t="shared" si="42"/>
        <v>0</v>
      </c>
      <c r="FD108" s="537">
        <f t="shared" si="42"/>
        <v>0</v>
      </c>
      <c r="FE108" s="537">
        <f t="shared" si="42"/>
        <v>1</v>
      </c>
      <c r="FF108" s="537">
        <f t="shared" si="42"/>
        <v>0</v>
      </c>
      <c r="FG108" s="537">
        <f t="shared" si="42"/>
        <v>0</v>
      </c>
      <c r="FH108" s="537">
        <f t="shared" si="42"/>
        <v>0</v>
      </c>
      <c r="FI108" s="537">
        <f t="shared" si="42"/>
        <v>1</v>
      </c>
      <c r="FJ108" s="537">
        <f t="shared" si="42"/>
        <v>0</v>
      </c>
      <c r="FK108" s="537">
        <f t="shared" si="42"/>
        <v>0</v>
      </c>
      <c r="FL108" s="537">
        <f t="shared" si="42"/>
        <v>0</v>
      </c>
      <c r="FM108" s="537">
        <f t="shared" si="42"/>
        <v>1</v>
      </c>
      <c r="FN108" s="537">
        <f t="shared" si="42"/>
        <v>0</v>
      </c>
      <c r="FO108" s="537">
        <f t="shared" si="42"/>
        <v>0</v>
      </c>
      <c r="FP108" s="537">
        <f t="shared" si="42"/>
        <v>0</v>
      </c>
      <c r="FQ108" s="537">
        <f t="shared" si="42"/>
        <v>1</v>
      </c>
      <c r="FR108" s="537">
        <f t="shared" si="42"/>
        <v>0</v>
      </c>
      <c r="FS108" s="537">
        <f t="shared" si="42"/>
        <v>0</v>
      </c>
      <c r="FT108" s="537">
        <f t="shared" si="42"/>
        <v>0</v>
      </c>
      <c r="FU108" s="537">
        <f t="shared" si="42"/>
        <v>1</v>
      </c>
      <c r="FV108" s="537">
        <f t="shared" si="42"/>
        <v>0</v>
      </c>
      <c r="FW108" s="537">
        <f t="shared" si="42"/>
        <v>0</v>
      </c>
      <c r="FX108" s="537">
        <f t="shared" si="42"/>
        <v>0</v>
      </c>
      <c r="FY108" s="537">
        <f t="shared" si="42"/>
        <v>1</v>
      </c>
      <c r="FZ108" s="537">
        <f t="shared" si="42"/>
        <v>0</v>
      </c>
      <c r="GA108" s="537">
        <f t="shared" si="42"/>
        <v>0</v>
      </c>
      <c r="GB108" s="537">
        <f t="shared" si="42"/>
        <v>0</v>
      </c>
      <c r="GC108" s="537">
        <f t="shared" si="42"/>
        <v>1</v>
      </c>
      <c r="GD108" s="537">
        <f t="shared" si="42"/>
        <v>0</v>
      </c>
      <c r="GE108" s="537">
        <f t="shared" si="42"/>
        <v>0</v>
      </c>
      <c r="GF108" s="537">
        <f t="shared" si="42"/>
        <v>0</v>
      </c>
      <c r="GG108" s="537">
        <f t="shared" si="42"/>
        <v>1</v>
      </c>
      <c r="GH108" s="537">
        <f t="shared" si="42"/>
        <v>0</v>
      </c>
      <c r="GI108" s="537">
        <f t="shared" si="42"/>
        <v>0</v>
      </c>
      <c r="GJ108" s="537">
        <f t="shared" si="42"/>
        <v>0</v>
      </c>
    </row>
    <row r="110" spans="5:7" ht="12.75">
      <c r="E110" s="546" t="str">
        <f>InpC!E$14</f>
        <v>Financial year end date of first model period</v>
      </c>
      <c r="F110" s="547">
        <f>InpC!F$14</f>
        <v>46387</v>
      </c>
      <c r="G110" s="547" t="str">
        <f>InpC!G$14</f>
        <v>date</v>
      </c>
    </row>
    <row r="111" spans="5:7" ht="12.75">
      <c r="E111" s="546" t="str">
        <f>InpC!E$26</f>
        <v>Months in year</v>
      </c>
      <c r="F111" s="548">
        <f>InpC!F$26</f>
        <v>12</v>
      </c>
      <c r="G111" s="548" t="str">
        <f>InpC!G$26</f>
        <v>months</v>
      </c>
    </row>
    <row r="112" spans="5:192" ht="12.75">
      <c r="E112" s="535" t="str">
        <f>E$16</f>
        <v>First model column flag</v>
      </c>
      <c r="G112" s="537" t="str">
        <f>G$16</f>
        <v>flag</v>
      </c>
      <c r="H112" s="537">
        <f>H$16</f>
        <v>1</v>
      </c>
      <c r="J112" s="537">
        <f t="shared" si="43" ref="J112:GJ112">J$16</f>
        <v>1</v>
      </c>
      <c r="K112" s="537">
        <f t="shared" si="43"/>
        <v>0</v>
      </c>
      <c r="L112" s="537">
        <f t="shared" si="43"/>
        <v>0</v>
      </c>
      <c r="M112" s="537">
        <f t="shared" si="43"/>
        <v>0</v>
      </c>
      <c r="N112" s="537">
        <f t="shared" si="43"/>
        <v>0</v>
      </c>
      <c r="O112" s="537">
        <f t="shared" si="43"/>
        <v>0</v>
      </c>
      <c r="P112" s="537">
        <f t="shared" si="43"/>
        <v>0</v>
      </c>
      <c r="Q112" s="537">
        <f t="shared" si="43"/>
        <v>0</v>
      </c>
      <c r="R112" s="537">
        <f t="shared" si="43"/>
        <v>0</v>
      </c>
      <c r="S112" s="537">
        <f t="shared" si="43"/>
        <v>0</v>
      </c>
      <c r="T112" s="537">
        <f t="shared" si="43"/>
        <v>0</v>
      </c>
      <c r="U112" s="537">
        <f t="shared" si="43"/>
        <v>0</v>
      </c>
      <c r="V112" s="537">
        <f t="shared" si="43"/>
        <v>0</v>
      </c>
      <c r="W112" s="537">
        <f t="shared" si="43"/>
        <v>0</v>
      </c>
      <c r="X112" s="537">
        <f t="shared" si="43"/>
        <v>0</v>
      </c>
      <c r="Y112" s="537">
        <f t="shared" si="43"/>
        <v>0</v>
      </c>
      <c r="Z112" s="537">
        <f t="shared" si="43"/>
        <v>0</v>
      </c>
      <c r="AA112" s="537">
        <f t="shared" si="43"/>
        <v>0</v>
      </c>
      <c r="AB112" s="537">
        <f t="shared" si="43"/>
        <v>0</v>
      </c>
      <c r="AC112" s="537">
        <f t="shared" si="43"/>
        <v>0</v>
      </c>
      <c r="AD112" s="537">
        <f t="shared" si="43"/>
        <v>0</v>
      </c>
      <c r="AE112" s="537">
        <f t="shared" si="43"/>
        <v>0</v>
      </c>
      <c r="AF112" s="537">
        <f t="shared" si="43"/>
        <v>0</v>
      </c>
      <c r="AG112" s="537">
        <f t="shared" si="43"/>
        <v>0</v>
      </c>
      <c r="AH112" s="537">
        <f t="shared" si="43"/>
        <v>0</v>
      </c>
      <c r="AI112" s="537">
        <f t="shared" si="43"/>
        <v>0</v>
      </c>
      <c r="AJ112" s="537">
        <f t="shared" si="43"/>
        <v>0</v>
      </c>
      <c r="AK112" s="537">
        <f t="shared" si="43"/>
        <v>0</v>
      </c>
      <c r="AL112" s="537">
        <f t="shared" si="43"/>
        <v>0</v>
      </c>
      <c r="AM112" s="537">
        <f t="shared" si="43"/>
        <v>0</v>
      </c>
      <c r="AN112" s="537">
        <f t="shared" si="43"/>
        <v>0</v>
      </c>
      <c r="AO112" s="537">
        <f t="shared" si="43"/>
        <v>0</v>
      </c>
      <c r="AP112" s="537">
        <f t="shared" si="43"/>
        <v>0</v>
      </c>
      <c r="AQ112" s="537">
        <f t="shared" si="43"/>
        <v>0</v>
      </c>
      <c r="AR112" s="537">
        <f t="shared" si="43"/>
        <v>0</v>
      </c>
      <c r="AS112" s="537">
        <f t="shared" si="43"/>
        <v>0</v>
      </c>
      <c r="AT112" s="537">
        <f t="shared" si="43"/>
        <v>0</v>
      </c>
      <c r="AU112" s="537">
        <f t="shared" si="43"/>
        <v>0</v>
      </c>
      <c r="AV112" s="537">
        <f t="shared" si="43"/>
        <v>0</v>
      </c>
      <c r="AW112" s="537">
        <f t="shared" si="43"/>
        <v>0</v>
      </c>
      <c r="AX112" s="537">
        <f t="shared" si="43"/>
        <v>0</v>
      </c>
      <c r="AY112" s="537">
        <f t="shared" si="43"/>
        <v>0</v>
      </c>
      <c r="AZ112" s="537">
        <f t="shared" si="43"/>
        <v>0</v>
      </c>
      <c r="BA112" s="537">
        <f t="shared" si="43"/>
        <v>0</v>
      </c>
      <c r="BB112" s="537">
        <f t="shared" si="43"/>
        <v>0</v>
      </c>
      <c r="BC112" s="537">
        <f t="shared" si="43"/>
        <v>0</v>
      </c>
      <c r="BD112" s="537">
        <f t="shared" si="43"/>
        <v>0</v>
      </c>
      <c r="BE112" s="537">
        <f t="shared" si="43"/>
        <v>0</v>
      </c>
      <c r="BF112" s="537">
        <f t="shared" si="43"/>
        <v>0</v>
      </c>
      <c r="BG112" s="537">
        <f t="shared" si="43"/>
        <v>0</v>
      </c>
      <c r="BH112" s="537">
        <f t="shared" si="43"/>
        <v>0</v>
      </c>
      <c r="BI112" s="537">
        <f t="shared" si="43"/>
        <v>0</v>
      </c>
      <c r="BJ112" s="537">
        <f t="shared" si="43"/>
        <v>0</v>
      </c>
      <c r="BK112" s="537">
        <f t="shared" si="43"/>
        <v>0</v>
      </c>
      <c r="BL112" s="537">
        <f t="shared" si="43"/>
        <v>0</v>
      </c>
      <c r="BM112" s="537">
        <f t="shared" si="43"/>
        <v>0</v>
      </c>
      <c r="BN112" s="537">
        <f t="shared" si="43"/>
        <v>0</v>
      </c>
      <c r="BO112" s="537">
        <f t="shared" si="43"/>
        <v>0</v>
      </c>
      <c r="BP112" s="537">
        <f t="shared" si="43"/>
        <v>0</v>
      </c>
      <c r="BQ112" s="537">
        <f t="shared" si="43"/>
        <v>0</v>
      </c>
      <c r="BR112" s="537">
        <f t="shared" si="43"/>
        <v>0</v>
      </c>
      <c r="BS112" s="537">
        <f t="shared" si="43"/>
        <v>0</v>
      </c>
      <c r="BT112" s="537">
        <f t="shared" si="43"/>
        <v>0</v>
      </c>
      <c r="BU112" s="537">
        <f t="shared" si="43"/>
        <v>0</v>
      </c>
      <c r="BV112" s="537">
        <f t="shared" si="43"/>
        <v>0</v>
      </c>
      <c r="BW112" s="537">
        <f t="shared" si="43"/>
        <v>0</v>
      </c>
      <c r="BX112" s="537">
        <f t="shared" si="43"/>
        <v>0</v>
      </c>
      <c r="BY112" s="537">
        <f t="shared" si="43"/>
        <v>0</v>
      </c>
      <c r="BZ112" s="537">
        <f t="shared" si="43"/>
        <v>0</v>
      </c>
      <c r="CA112" s="537">
        <f t="shared" si="43"/>
        <v>0</v>
      </c>
      <c r="CB112" s="537">
        <f t="shared" si="43"/>
        <v>0</v>
      </c>
      <c r="CC112" s="537">
        <f t="shared" si="43"/>
        <v>0</v>
      </c>
      <c r="CD112" s="537">
        <f t="shared" si="43"/>
        <v>0</v>
      </c>
      <c r="CE112" s="537">
        <f t="shared" si="43"/>
        <v>0</v>
      </c>
      <c r="CF112" s="537">
        <f t="shared" si="43"/>
        <v>0</v>
      </c>
      <c r="CG112" s="537">
        <f t="shared" si="43"/>
        <v>0</v>
      </c>
      <c r="CH112" s="537">
        <f t="shared" si="43"/>
        <v>0</v>
      </c>
      <c r="CI112" s="537">
        <f t="shared" si="43"/>
        <v>0</v>
      </c>
      <c r="CJ112" s="537">
        <f t="shared" si="43"/>
        <v>0</v>
      </c>
      <c r="CK112" s="537">
        <f t="shared" si="43"/>
        <v>0</v>
      </c>
      <c r="CL112" s="537">
        <f t="shared" si="43"/>
        <v>0</v>
      </c>
      <c r="CM112" s="537">
        <f t="shared" si="43"/>
        <v>0</v>
      </c>
      <c r="CN112" s="537">
        <f t="shared" si="43"/>
        <v>0</v>
      </c>
      <c r="CO112" s="537">
        <f t="shared" si="43"/>
        <v>0</v>
      </c>
      <c r="CP112" s="537">
        <f t="shared" si="43"/>
        <v>0</v>
      </c>
      <c r="CQ112" s="537">
        <f t="shared" si="43"/>
        <v>0</v>
      </c>
      <c r="CR112" s="537">
        <f t="shared" si="43"/>
        <v>0</v>
      </c>
      <c r="CS112" s="537">
        <f t="shared" si="43"/>
        <v>0</v>
      </c>
      <c r="CT112" s="537">
        <f t="shared" si="43"/>
        <v>0</v>
      </c>
      <c r="CU112" s="537">
        <f t="shared" si="43"/>
        <v>0</v>
      </c>
      <c r="CV112" s="537">
        <f t="shared" si="43"/>
        <v>0</v>
      </c>
      <c r="CW112" s="537">
        <f t="shared" si="43"/>
        <v>0</v>
      </c>
      <c r="CX112" s="537">
        <f t="shared" si="43"/>
        <v>0</v>
      </c>
      <c r="CY112" s="537">
        <f t="shared" si="43"/>
        <v>0</v>
      </c>
      <c r="CZ112" s="537">
        <f t="shared" si="43"/>
        <v>0</v>
      </c>
      <c r="DA112" s="537">
        <f t="shared" si="43"/>
        <v>0</v>
      </c>
      <c r="DB112" s="537">
        <f t="shared" si="43"/>
        <v>0</v>
      </c>
      <c r="DC112" s="537">
        <f t="shared" si="43"/>
        <v>0</v>
      </c>
      <c r="DD112" s="537">
        <f t="shared" si="43"/>
        <v>0</v>
      </c>
      <c r="DE112" s="537">
        <f t="shared" si="43"/>
        <v>0</v>
      </c>
      <c r="DF112" s="537">
        <f t="shared" si="43"/>
        <v>0</v>
      </c>
      <c r="DG112" s="537">
        <f t="shared" si="43"/>
        <v>0</v>
      </c>
      <c r="DH112" s="537">
        <f t="shared" si="43"/>
        <v>0</v>
      </c>
      <c r="DI112" s="537">
        <f t="shared" si="43"/>
        <v>0</v>
      </c>
      <c r="DJ112" s="537">
        <f t="shared" si="43"/>
        <v>0</v>
      </c>
      <c r="DK112" s="537">
        <f t="shared" si="43"/>
        <v>0</v>
      </c>
      <c r="DL112" s="537">
        <f t="shared" si="43"/>
        <v>0</v>
      </c>
      <c r="DM112" s="537">
        <f t="shared" si="43"/>
        <v>0</v>
      </c>
      <c r="DN112" s="537">
        <f t="shared" si="43"/>
        <v>0</v>
      </c>
      <c r="DO112" s="537">
        <f t="shared" si="43"/>
        <v>0</v>
      </c>
      <c r="DP112" s="537">
        <f t="shared" si="43"/>
        <v>0</v>
      </c>
      <c r="DQ112" s="537">
        <f t="shared" si="43"/>
        <v>0</v>
      </c>
      <c r="DR112" s="537">
        <f t="shared" si="43"/>
        <v>0</v>
      </c>
      <c r="DS112" s="537">
        <f t="shared" si="43"/>
        <v>0</v>
      </c>
      <c r="DT112" s="537">
        <f t="shared" si="43"/>
        <v>0</v>
      </c>
      <c r="DU112" s="537">
        <f t="shared" si="43"/>
        <v>0</v>
      </c>
      <c r="DV112" s="537">
        <f t="shared" si="43"/>
        <v>0</v>
      </c>
      <c r="DW112" s="537">
        <f t="shared" si="43"/>
        <v>0</v>
      </c>
      <c r="DX112" s="537">
        <f t="shared" si="43"/>
        <v>0</v>
      </c>
      <c r="DY112" s="537">
        <f t="shared" si="43"/>
        <v>0</v>
      </c>
      <c r="DZ112" s="537">
        <f t="shared" si="43"/>
        <v>0</v>
      </c>
      <c r="EA112" s="537">
        <f t="shared" si="43"/>
        <v>0</v>
      </c>
      <c r="EB112" s="537">
        <f t="shared" si="43"/>
        <v>0</v>
      </c>
      <c r="EC112" s="537">
        <f t="shared" si="43"/>
        <v>0</v>
      </c>
      <c r="ED112" s="537">
        <f t="shared" si="43"/>
        <v>0</v>
      </c>
      <c r="EE112" s="537">
        <f t="shared" si="43"/>
        <v>0</v>
      </c>
      <c r="EF112" s="537">
        <f t="shared" si="43"/>
        <v>0</v>
      </c>
      <c r="EG112" s="537">
        <f t="shared" si="43"/>
        <v>0</v>
      </c>
      <c r="EH112" s="537">
        <f t="shared" si="43"/>
        <v>0</v>
      </c>
      <c r="EI112" s="537">
        <f t="shared" si="43"/>
        <v>0</v>
      </c>
      <c r="EJ112" s="537">
        <f t="shared" si="43"/>
        <v>0</v>
      </c>
      <c r="EK112" s="537">
        <f t="shared" si="43"/>
        <v>0</v>
      </c>
      <c r="EL112" s="537">
        <f t="shared" si="43"/>
        <v>0</v>
      </c>
      <c r="EM112" s="537">
        <f t="shared" si="43"/>
        <v>0</v>
      </c>
      <c r="EN112" s="537">
        <f t="shared" si="43"/>
        <v>0</v>
      </c>
      <c r="EO112" s="537">
        <f t="shared" si="43"/>
        <v>0</v>
      </c>
      <c r="EP112" s="537">
        <f t="shared" si="43"/>
        <v>0</v>
      </c>
      <c r="EQ112" s="537">
        <f t="shared" si="43"/>
        <v>0</v>
      </c>
      <c r="ER112" s="537">
        <f t="shared" si="43"/>
        <v>0</v>
      </c>
      <c r="ES112" s="537">
        <f t="shared" si="43"/>
        <v>0</v>
      </c>
      <c r="ET112" s="537">
        <f t="shared" si="43"/>
        <v>0</v>
      </c>
      <c r="EU112" s="537">
        <f t="shared" si="43"/>
        <v>0</v>
      </c>
      <c r="EV112" s="537">
        <f t="shared" si="43"/>
        <v>0</v>
      </c>
      <c r="EW112" s="537">
        <f t="shared" si="43"/>
        <v>0</v>
      </c>
      <c r="EX112" s="537">
        <f t="shared" si="43"/>
        <v>0</v>
      </c>
      <c r="EY112" s="537">
        <f t="shared" si="43"/>
        <v>0</v>
      </c>
      <c r="EZ112" s="537">
        <f t="shared" si="43"/>
        <v>0</v>
      </c>
      <c r="FA112" s="537">
        <f t="shared" si="43"/>
        <v>0</v>
      </c>
      <c r="FB112" s="537">
        <f t="shared" si="43"/>
        <v>0</v>
      </c>
      <c r="FC112" s="537">
        <f t="shared" si="43"/>
        <v>0</v>
      </c>
      <c r="FD112" s="537">
        <f t="shared" si="43"/>
        <v>0</v>
      </c>
      <c r="FE112" s="537">
        <f t="shared" si="43"/>
        <v>0</v>
      </c>
      <c r="FF112" s="537">
        <f t="shared" si="43"/>
        <v>0</v>
      </c>
      <c r="FG112" s="537">
        <f t="shared" si="43"/>
        <v>0</v>
      </c>
      <c r="FH112" s="537">
        <f t="shared" si="43"/>
        <v>0</v>
      </c>
      <c r="FI112" s="537">
        <f t="shared" si="43"/>
        <v>0</v>
      </c>
      <c r="FJ112" s="537">
        <f t="shared" si="43"/>
        <v>0</v>
      </c>
      <c r="FK112" s="537">
        <f t="shared" si="43"/>
        <v>0</v>
      </c>
      <c r="FL112" s="537">
        <f t="shared" si="43"/>
        <v>0</v>
      </c>
      <c r="FM112" s="537">
        <f t="shared" si="43"/>
        <v>0</v>
      </c>
      <c r="FN112" s="537">
        <f t="shared" si="43"/>
        <v>0</v>
      </c>
      <c r="FO112" s="537">
        <f t="shared" si="43"/>
        <v>0</v>
      </c>
      <c r="FP112" s="537">
        <f t="shared" si="43"/>
        <v>0</v>
      </c>
      <c r="FQ112" s="537">
        <f t="shared" si="43"/>
        <v>0</v>
      </c>
      <c r="FR112" s="537">
        <f t="shared" si="43"/>
        <v>0</v>
      </c>
      <c r="FS112" s="537">
        <f t="shared" si="43"/>
        <v>0</v>
      </c>
      <c r="FT112" s="537">
        <f t="shared" si="43"/>
        <v>0</v>
      </c>
      <c r="FU112" s="537">
        <f t="shared" si="43"/>
        <v>0</v>
      </c>
      <c r="FV112" s="537">
        <f t="shared" si="43"/>
        <v>0</v>
      </c>
      <c r="FW112" s="537">
        <f t="shared" si="43"/>
        <v>0</v>
      </c>
      <c r="FX112" s="537">
        <f t="shared" si="43"/>
        <v>0</v>
      </c>
      <c r="FY112" s="537">
        <f t="shared" si="43"/>
        <v>0</v>
      </c>
      <c r="FZ112" s="537">
        <f t="shared" si="43"/>
        <v>0</v>
      </c>
      <c r="GA112" s="537">
        <f t="shared" si="43"/>
        <v>0</v>
      </c>
      <c r="GB112" s="537">
        <f t="shared" si="43"/>
        <v>0</v>
      </c>
      <c r="GC112" s="537">
        <f t="shared" si="43"/>
        <v>0</v>
      </c>
      <c r="GD112" s="537">
        <f t="shared" si="43"/>
        <v>0</v>
      </c>
      <c r="GE112" s="537">
        <f t="shared" si="43"/>
        <v>0</v>
      </c>
      <c r="GF112" s="537">
        <f t="shared" si="43"/>
        <v>0</v>
      </c>
      <c r="GG112" s="537">
        <f t="shared" si="43"/>
        <v>0</v>
      </c>
      <c r="GH112" s="537">
        <f t="shared" si="43"/>
        <v>0</v>
      </c>
      <c r="GI112" s="537">
        <f t="shared" si="43"/>
        <v>0</v>
      </c>
      <c r="GJ112" s="537">
        <f t="shared" si="43"/>
        <v>0</v>
      </c>
    </row>
    <row r="113" spans="5:192" ht="12.75">
      <c r="E113" s="535" t="str">
        <f>E$108</f>
        <v>End of financial year flag</v>
      </c>
      <c r="G113" s="537" t="str">
        <f>G$108</f>
        <v>flag</v>
      </c>
      <c r="H113" s="537">
        <f>H$108</f>
        <v>40</v>
      </c>
      <c r="J113" s="537">
        <f t="shared" si="44" ref="J113:GJ113">J$108</f>
        <v>0</v>
      </c>
      <c r="K113" s="537">
        <f t="shared" si="44"/>
        <v>0</v>
      </c>
      <c r="L113" s="537">
        <f t="shared" si="44"/>
        <v>0</v>
      </c>
      <c r="M113" s="537">
        <f t="shared" si="44"/>
        <v>0</v>
      </c>
      <c r="N113" s="537">
        <f t="shared" si="44"/>
        <v>0</v>
      </c>
      <c r="O113" s="537">
        <f t="shared" si="44"/>
        <v>0</v>
      </c>
      <c r="P113" s="537">
        <f t="shared" si="44"/>
        <v>0</v>
      </c>
      <c r="Q113" s="537">
        <f t="shared" si="44"/>
        <v>0</v>
      </c>
      <c r="R113" s="537">
        <f t="shared" si="44"/>
        <v>0</v>
      </c>
      <c r="S113" s="537">
        <f t="shared" si="44"/>
        <v>0</v>
      </c>
      <c r="T113" s="537">
        <f t="shared" si="44"/>
        <v>0</v>
      </c>
      <c r="U113" s="537">
        <f t="shared" si="44"/>
        <v>1</v>
      </c>
      <c r="V113" s="537">
        <f t="shared" si="44"/>
        <v>0</v>
      </c>
      <c r="W113" s="537">
        <f t="shared" si="44"/>
        <v>0</v>
      </c>
      <c r="X113" s="537">
        <f t="shared" si="44"/>
        <v>0</v>
      </c>
      <c r="Y113" s="537">
        <f t="shared" si="44"/>
        <v>0</v>
      </c>
      <c r="Z113" s="537">
        <f t="shared" si="44"/>
        <v>0</v>
      </c>
      <c r="AA113" s="537">
        <f t="shared" si="44"/>
        <v>0</v>
      </c>
      <c r="AB113" s="537">
        <f t="shared" si="44"/>
        <v>0</v>
      </c>
      <c r="AC113" s="537">
        <f t="shared" si="44"/>
        <v>0</v>
      </c>
      <c r="AD113" s="537">
        <f t="shared" si="44"/>
        <v>0</v>
      </c>
      <c r="AE113" s="537">
        <f t="shared" si="44"/>
        <v>0</v>
      </c>
      <c r="AF113" s="537">
        <f t="shared" si="44"/>
        <v>0</v>
      </c>
      <c r="AG113" s="537">
        <f t="shared" si="44"/>
        <v>1</v>
      </c>
      <c r="AH113" s="537">
        <f t="shared" si="44"/>
        <v>0</v>
      </c>
      <c r="AI113" s="537">
        <f t="shared" si="44"/>
        <v>0</v>
      </c>
      <c r="AJ113" s="537">
        <f t="shared" si="44"/>
        <v>0</v>
      </c>
      <c r="AK113" s="537">
        <f t="shared" si="44"/>
        <v>0</v>
      </c>
      <c r="AL113" s="537">
        <f t="shared" si="44"/>
        <v>0</v>
      </c>
      <c r="AM113" s="537">
        <f t="shared" si="44"/>
        <v>0</v>
      </c>
      <c r="AN113" s="537">
        <f t="shared" si="44"/>
        <v>0</v>
      </c>
      <c r="AO113" s="537">
        <f t="shared" si="44"/>
        <v>1</v>
      </c>
      <c r="AP113" s="537">
        <f t="shared" si="44"/>
        <v>0</v>
      </c>
      <c r="AQ113" s="537">
        <f t="shared" si="44"/>
        <v>0</v>
      </c>
      <c r="AR113" s="537">
        <f t="shared" si="44"/>
        <v>0</v>
      </c>
      <c r="AS113" s="537">
        <f t="shared" si="44"/>
        <v>1</v>
      </c>
      <c r="AT113" s="537">
        <f t="shared" si="44"/>
        <v>0</v>
      </c>
      <c r="AU113" s="537">
        <f t="shared" si="44"/>
        <v>0</v>
      </c>
      <c r="AV113" s="537">
        <f t="shared" si="44"/>
        <v>0</v>
      </c>
      <c r="AW113" s="537">
        <f t="shared" si="44"/>
        <v>1</v>
      </c>
      <c r="AX113" s="537">
        <f t="shared" si="44"/>
        <v>0</v>
      </c>
      <c r="AY113" s="537">
        <f t="shared" si="44"/>
        <v>0</v>
      </c>
      <c r="AZ113" s="537">
        <f t="shared" si="44"/>
        <v>0</v>
      </c>
      <c r="BA113" s="537">
        <f t="shared" si="44"/>
        <v>1</v>
      </c>
      <c r="BB113" s="537">
        <f t="shared" si="44"/>
        <v>0</v>
      </c>
      <c r="BC113" s="537">
        <f t="shared" si="44"/>
        <v>0</v>
      </c>
      <c r="BD113" s="537">
        <f t="shared" si="44"/>
        <v>0</v>
      </c>
      <c r="BE113" s="537">
        <f t="shared" si="44"/>
        <v>1</v>
      </c>
      <c r="BF113" s="537">
        <f t="shared" si="44"/>
        <v>0</v>
      </c>
      <c r="BG113" s="537">
        <f t="shared" si="44"/>
        <v>0</v>
      </c>
      <c r="BH113" s="537">
        <f t="shared" si="44"/>
        <v>0</v>
      </c>
      <c r="BI113" s="537">
        <f t="shared" si="44"/>
        <v>1</v>
      </c>
      <c r="BJ113" s="537">
        <f t="shared" si="44"/>
        <v>0</v>
      </c>
      <c r="BK113" s="537">
        <f t="shared" si="44"/>
        <v>0</v>
      </c>
      <c r="BL113" s="537">
        <f t="shared" si="44"/>
        <v>0</v>
      </c>
      <c r="BM113" s="537">
        <f t="shared" si="44"/>
        <v>1</v>
      </c>
      <c r="BN113" s="537">
        <f t="shared" si="44"/>
        <v>0</v>
      </c>
      <c r="BO113" s="537">
        <f t="shared" si="44"/>
        <v>0</v>
      </c>
      <c r="BP113" s="537">
        <f t="shared" si="44"/>
        <v>0</v>
      </c>
      <c r="BQ113" s="537">
        <f t="shared" si="44"/>
        <v>1</v>
      </c>
      <c r="BR113" s="537">
        <f t="shared" si="44"/>
        <v>0</v>
      </c>
      <c r="BS113" s="537">
        <f t="shared" si="44"/>
        <v>0</v>
      </c>
      <c r="BT113" s="537">
        <f t="shared" si="44"/>
        <v>0</v>
      </c>
      <c r="BU113" s="537">
        <f t="shared" si="44"/>
        <v>1</v>
      </c>
      <c r="BV113" s="537">
        <f t="shared" si="44"/>
        <v>0</v>
      </c>
      <c r="BW113" s="537">
        <f t="shared" si="44"/>
        <v>0</v>
      </c>
      <c r="BX113" s="537">
        <f t="shared" si="44"/>
        <v>0</v>
      </c>
      <c r="BY113" s="537">
        <f t="shared" si="44"/>
        <v>1</v>
      </c>
      <c r="BZ113" s="537">
        <f t="shared" si="44"/>
        <v>0</v>
      </c>
      <c r="CA113" s="537">
        <f t="shared" si="44"/>
        <v>0</v>
      </c>
      <c r="CB113" s="537">
        <f t="shared" si="44"/>
        <v>0</v>
      </c>
      <c r="CC113" s="537">
        <f t="shared" si="44"/>
        <v>1</v>
      </c>
      <c r="CD113" s="537">
        <f t="shared" si="44"/>
        <v>0</v>
      </c>
      <c r="CE113" s="537">
        <f t="shared" si="44"/>
        <v>0</v>
      </c>
      <c r="CF113" s="537">
        <f t="shared" si="44"/>
        <v>0</v>
      </c>
      <c r="CG113" s="537">
        <f t="shared" si="44"/>
        <v>1</v>
      </c>
      <c r="CH113" s="537">
        <f t="shared" si="44"/>
        <v>0</v>
      </c>
      <c r="CI113" s="537">
        <f t="shared" si="44"/>
        <v>0</v>
      </c>
      <c r="CJ113" s="537">
        <f t="shared" si="44"/>
        <v>0</v>
      </c>
      <c r="CK113" s="537">
        <f t="shared" si="44"/>
        <v>1</v>
      </c>
      <c r="CL113" s="537">
        <f t="shared" si="44"/>
        <v>0</v>
      </c>
      <c r="CM113" s="537">
        <f t="shared" si="44"/>
        <v>0</v>
      </c>
      <c r="CN113" s="537">
        <f t="shared" si="44"/>
        <v>0</v>
      </c>
      <c r="CO113" s="537">
        <f t="shared" si="44"/>
        <v>1</v>
      </c>
      <c r="CP113" s="537">
        <f t="shared" si="44"/>
        <v>0</v>
      </c>
      <c r="CQ113" s="537">
        <f t="shared" si="44"/>
        <v>0</v>
      </c>
      <c r="CR113" s="537">
        <f t="shared" si="44"/>
        <v>0</v>
      </c>
      <c r="CS113" s="537">
        <f t="shared" si="44"/>
        <v>1</v>
      </c>
      <c r="CT113" s="537">
        <f t="shared" si="44"/>
        <v>0</v>
      </c>
      <c r="CU113" s="537">
        <f t="shared" si="44"/>
        <v>0</v>
      </c>
      <c r="CV113" s="537">
        <f t="shared" si="44"/>
        <v>0</v>
      </c>
      <c r="CW113" s="537">
        <f t="shared" si="44"/>
        <v>1</v>
      </c>
      <c r="CX113" s="537">
        <f t="shared" si="44"/>
        <v>0</v>
      </c>
      <c r="CY113" s="537">
        <f t="shared" si="44"/>
        <v>0</v>
      </c>
      <c r="CZ113" s="537">
        <f t="shared" si="44"/>
        <v>0</v>
      </c>
      <c r="DA113" s="537">
        <f t="shared" si="44"/>
        <v>1</v>
      </c>
      <c r="DB113" s="537">
        <f t="shared" si="44"/>
        <v>0</v>
      </c>
      <c r="DC113" s="537">
        <f t="shared" si="44"/>
        <v>0</v>
      </c>
      <c r="DD113" s="537">
        <f t="shared" si="44"/>
        <v>0</v>
      </c>
      <c r="DE113" s="537">
        <f t="shared" si="44"/>
        <v>1</v>
      </c>
      <c r="DF113" s="537">
        <f t="shared" si="44"/>
        <v>0</v>
      </c>
      <c r="DG113" s="537">
        <f t="shared" si="44"/>
        <v>0</v>
      </c>
      <c r="DH113" s="537">
        <f t="shared" si="44"/>
        <v>0</v>
      </c>
      <c r="DI113" s="537">
        <f t="shared" si="44"/>
        <v>1</v>
      </c>
      <c r="DJ113" s="537">
        <f t="shared" si="44"/>
        <v>0</v>
      </c>
      <c r="DK113" s="537">
        <f t="shared" si="44"/>
        <v>0</v>
      </c>
      <c r="DL113" s="537">
        <f t="shared" si="44"/>
        <v>0</v>
      </c>
      <c r="DM113" s="537">
        <f t="shared" si="44"/>
        <v>1</v>
      </c>
      <c r="DN113" s="537">
        <f t="shared" si="44"/>
        <v>0</v>
      </c>
      <c r="DO113" s="537">
        <f t="shared" si="44"/>
        <v>0</v>
      </c>
      <c r="DP113" s="537">
        <f t="shared" si="44"/>
        <v>0</v>
      </c>
      <c r="DQ113" s="537">
        <f t="shared" si="44"/>
        <v>1</v>
      </c>
      <c r="DR113" s="537">
        <f t="shared" si="44"/>
        <v>0</v>
      </c>
      <c r="DS113" s="537">
        <f t="shared" si="44"/>
        <v>0</v>
      </c>
      <c r="DT113" s="537">
        <f t="shared" si="44"/>
        <v>0</v>
      </c>
      <c r="DU113" s="537">
        <f t="shared" si="44"/>
        <v>1</v>
      </c>
      <c r="DV113" s="537">
        <f t="shared" si="44"/>
        <v>0</v>
      </c>
      <c r="DW113" s="537">
        <f t="shared" si="44"/>
        <v>0</v>
      </c>
      <c r="DX113" s="537">
        <f t="shared" si="44"/>
        <v>0</v>
      </c>
      <c r="DY113" s="537">
        <f t="shared" si="44"/>
        <v>1</v>
      </c>
      <c r="DZ113" s="537">
        <f t="shared" si="44"/>
        <v>0</v>
      </c>
      <c r="EA113" s="537">
        <f t="shared" si="44"/>
        <v>0</v>
      </c>
      <c r="EB113" s="537">
        <f t="shared" si="44"/>
        <v>0</v>
      </c>
      <c r="EC113" s="537">
        <f t="shared" si="44"/>
        <v>1</v>
      </c>
      <c r="ED113" s="537">
        <f t="shared" si="44"/>
        <v>0</v>
      </c>
      <c r="EE113" s="537">
        <f t="shared" si="44"/>
        <v>0</v>
      </c>
      <c r="EF113" s="537">
        <f t="shared" si="44"/>
        <v>0</v>
      </c>
      <c r="EG113" s="537">
        <f t="shared" si="44"/>
        <v>1</v>
      </c>
      <c r="EH113" s="537">
        <f t="shared" si="44"/>
        <v>0</v>
      </c>
      <c r="EI113" s="537">
        <f t="shared" si="44"/>
        <v>0</v>
      </c>
      <c r="EJ113" s="537">
        <f t="shared" si="44"/>
        <v>0</v>
      </c>
      <c r="EK113" s="537">
        <f t="shared" si="44"/>
        <v>1</v>
      </c>
      <c r="EL113" s="537">
        <f t="shared" si="44"/>
        <v>0</v>
      </c>
      <c r="EM113" s="537">
        <f t="shared" si="44"/>
        <v>0</v>
      </c>
      <c r="EN113" s="537">
        <f t="shared" si="44"/>
        <v>0</v>
      </c>
      <c r="EO113" s="537">
        <f t="shared" si="44"/>
        <v>1</v>
      </c>
      <c r="EP113" s="537">
        <f t="shared" si="44"/>
        <v>0</v>
      </c>
      <c r="EQ113" s="537">
        <f t="shared" si="44"/>
        <v>0</v>
      </c>
      <c r="ER113" s="537">
        <f t="shared" si="44"/>
        <v>0</v>
      </c>
      <c r="ES113" s="537">
        <f t="shared" si="44"/>
        <v>1</v>
      </c>
      <c r="ET113" s="537">
        <f t="shared" si="44"/>
        <v>0</v>
      </c>
      <c r="EU113" s="537">
        <f t="shared" si="44"/>
        <v>0</v>
      </c>
      <c r="EV113" s="537">
        <f t="shared" si="44"/>
        <v>0</v>
      </c>
      <c r="EW113" s="537">
        <f t="shared" si="44"/>
        <v>1</v>
      </c>
      <c r="EX113" s="537">
        <f t="shared" si="44"/>
        <v>0</v>
      </c>
      <c r="EY113" s="537">
        <f t="shared" si="44"/>
        <v>0</v>
      </c>
      <c r="EZ113" s="537">
        <f t="shared" si="44"/>
        <v>0</v>
      </c>
      <c r="FA113" s="537">
        <f t="shared" si="44"/>
        <v>1</v>
      </c>
      <c r="FB113" s="537">
        <f t="shared" si="44"/>
        <v>0</v>
      </c>
      <c r="FC113" s="537">
        <f t="shared" si="44"/>
        <v>0</v>
      </c>
      <c r="FD113" s="537">
        <f t="shared" si="44"/>
        <v>0</v>
      </c>
      <c r="FE113" s="537">
        <f t="shared" si="44"/>
        <v>1</v>
      </c>
      <c r="FF113" s="537">
        <f t="shared" si="44"/>
        <v>0</v>
      </c>
      <c r="FG113" s="537">
        <f t="shared" si="44"/>
        <v>0</v>
      </c>
      <c r="FH113" s="537">
        <f t="shared" si="44"/>
        <v>0</v>
      </c>
      <c r="FI113" s="537">
        <f t="shared" si="44"/>
        <v>1</v>
      </c>
      <c r="FJ113" s="537">
        <f t="shared" si="44"/>
        <v>0</v>
      </c>
      <c r="FK113" s="537">
        <f t="shared" si="44"/>
        <v>0</v>
      </c>
      <c r="FL113" s="537">
        <f t="shared" si="44"/>
        <v>0</v>
      </c>
      <c r="FM113" s="537">
        <f t="shared" si="44"/>
        <v>1</v>
      </c>
      <c r="FN113" s="537">
        <f t="shared" si="44"/>
        <v>0</v>
      </c>
      <c r="FO113" s="537">
        <f t="shared" si="44"/>
        <v>0</v>
      </c>
      <c r="FP113" s="537">
        <f t="shared" si="44"/>
        <v>0</v>
      </c>
      <c r="FQ113" s="537">
        <f t="shared" si="44"/>
        <v>1</v>
      </c>
      <c r="FR113" s="537">
        <f t="shared" si="44"/>
        <v>0</v>
      </c>
      <c r="FS113" s="537">
        <f t="shared" si="44"/>
        <v>0</v>
      </c>
      <c r="FT113" s="537">
        <f t="shared" si="44"/>
        <v>0</v>
      </c>
      <c r="FU113" s="537">
        <f t="shared" si="44"/>
        <v>1</v>
      </c>
      <c r="FV113" s="537">
        <f t="shared" si="44"/>
        <v>0</v>
      </c>
      <c r="FW113" s="537">
        <f t="shared" si="44"/>
        <v>0</v>
      </c>
      <c r="FX113" s="537">
        <f t="shared" si="44"/>
        <v>0</v>
      </c>
      <c r="FY113" s="537">
        <f t="shared" si="44"/>
        <v>1</v>
      </c>
      <c r="FZ113" s="537">
        <f t="shared" si="44"/>
        <v>0</v>
      </c>
      <c r="GA113" s="537">
        <f t="shared" si="44"/>
        <v>0</v>
      </c>
      <c r="GB113" s="537">
        <f t="shared" si="44"/>
        <v>0</v>
      </c>
      <c r="GC113" s="537">
        <f t="shared" si="44"/>
        <v>1</v>
      </c>
      <c r="GD113" s="537">
        <f t="shared" si="44"/>
        <v>0</v>
      </c>
      <c r="GE113" s="537">
        <f t="shared" si="44"/>
        <v>0</v>
      </c>
      <c r="GF113" s="537">
        <f t="shared" si="44"/>
        <v>0</v>
      </c>
      <c r="GG113" s="537">
        <f t="shared" si="44"/>
        <v>1</v>
      </c>
      <c r="GH113" s="537">
        <f t="shared" si="44"/>
        <v>0</v>
      </c>
      <c r="GI113" s="537">
        <f t="shared" si="44"/>
        <v>0</v>
      </c>
      <c r="GJ113" s="537">
        <f t="shared" si="44"/>
        <v>0</v>
      </c>
    </row>
    <row r="114" spans="5:192" ht="12.75">
      <c r="E114" s="535" t="s">
        <v>73</v>
      </c>
      <c r="G114" s="540" t="s">
        <v>14</v>
      </c>
      <c r="J114" s="540">
        <f t="shared" si="45" ref="J114:GJ114">IF(J112=1,$F110,IF(I113=1,EOMONTH(I114,$F111),I114))</f>
        <v>46387</v>
      </c>
      <c r="K114" s="540">
        <f t="shared" si="45"/>
        <v>46387</v>
      </c>
      <c r="L114" s="540">
        <f t="shared" si="45"/>
        <v>46387</v>
      </c>
      <c r="M114" s="540">
        <f t="shared" si="45"/>
        <v>46387</v>
      </c>
      <c r="N114" s="540">
        <f t="shared" si="45"/>
        <v>46387</v>
      </c>
      <c r="O114" s="540">
        <f t="shared" si="45"/>
        <v>46387</v>
      </c>
      <c r="P114" s="540">
        <f t="shared" si="45"/>
        <v>46387</v>
      </c>
      <c r="Q114" s="540">
        <f t="shared" si="45"/>
        <v>46387</v>
      </c>
      <c r="R114" s="540">
        <f t="shared" si="45"/>
        <v>46387</v>
      </c>
      <c r="S114" s="540">
        <f t="shared" si="45"/>
        <v>46387</v>
      </c>
      <c r="T114" s="540">
        <f t="shared" si="45"/>
        <v>46387</v>
      </c>
      <c r="U114" s="540">
        <f t="shared" si="45"/>
        <v>46387</v>
      </c>
      <c r="V114" s="540">
        <f t="shared" si="45"/>
        <v>46752</v>
      </c>
      <c r="W114" s="540">
        <f t="shared" si="45"/>
        <v>46752</v>
      </c>
      <c r="X114" s="540">
        <f t="shared" si="45"/>
        <v>46752</v>
      </c>
      <c r="Y114" s="540">
        <f t="shared" si="45"/>
        <v>46752</v>
      </c>
      <c r="Z114" s="540">
        <f t="shared" si="45"/>
        <v>46752</v>
      </c>
      <c r="AA114" s="540">
        <f t="shared" si="45"/>
        <v>46752</v>
      </c>
      <c r="AB114" s="540">
        <f t="shared" si="45"/>
        <v>46752</v>
      </c>
      <c r="AC114" s="540">
        <f t="shared" si="45"/>
        <v>46752</v>
      </c>
      <c r="AD114" s="540">
        <f t="shared" si="45"/>
        <v>46752</v>
      </c>
      <c r="AE114" s="540">
        <f t="shared" si="45"/>
        <v>46752</v>
      </c>
      <c r="AF114" s="540">
        <f t="shared" si="45"/>
        <v>46752</v>
      </c>
      <c r="AG114" s="540">
        <f t="shared" si="45"/>
        <v>46752</v>
      </c>
      <c r="AH114" s="540">
        <f t="shared" si="45"/>
        <v>47118</v>
      </c>
      <c r="AI114" s="540">
        <f t="shared" si="45"/>
        <v>47118</v>
      </c>
      <c r="AJ114" s="540">
        <f t="shared" si="45"/>
        <v>47118</v>
      </c>
      <c r="AK114" s="540">
        <f t="shared" si="45"/>
        <v>47118</v>
      </c>
      <c r="AL114" s="540">
        <f t="shared" si="45"/>
        <v>47118</v>
      </c>
      <c r="AM114" s="540">
        <f t="shared" si="45"/>
        <v>47118</v>
      </c>
      <c r="AN114" s="540">
        <f t="shared" si="45"/>
        <v>47118</v>
      </c>
      <c r="AO114" s="540">
        <f t="shared" si="45"/>
        <v>47118</v>
      </c>
      <c r="AP114" s="540">
        <f t="shared" si="45"/>
        <v>47483</v>
      </c>
      <c r="AQ114" s="540">
        <f t="shared" si="45"/>
        <v>47483</v>
      </c>
      <c r="AR114" s="540">
        <f t="shared" si="45"/>
        <v>47483</v>
      </c>
      <c r="AS114" s="540">
        <f t="shared" si="45"/>
        <v>47483</v>
      </c>
      <c r="AT114" s="540">
        <f t="shared" si="45"/>
        <v>47848</v>
      </c>
      <c r="AU114" s="540">
        <f t="shared" si="45"/>
        <v>47848</v>
      </c>
      <c r="AV114" s="540">
        <f t="shared" si="45"/>
        <v>47848</v>
      </c>
      <c r="AW114" s="540">
        <f t="shared" si="45"/>
        <v>47848</v>
      </c>
      <c r="AX114" s="540">
        <f t="shared" si="45"/>
        <v>48213</v>
      </c>
      <c r="AY114" s="540">
        <f t="shared" si="45"/>
        <v>48213</v>
      </c>
      <c r="AZ114" s="540">
        <f t="shared" si="45"/>
        <v>48213</v>
      </c>
      <c r="BA114" s="540">
        <f t="shared" si="45"/>
        <v>48213</v>
      </c>
      <c r="BB114" s="540">
        <f t="shared" si="45"/>
        <v>48579</v>
      </c>
      <c r="BC114" s="540">
        <f t="shared" si="45"/>
        <v>48579</v>
      </c>
      <c r="BD114" s="540">
        <f t="shared" si="45"/>
        <v>48579</v>
      </c>
      <c r="BE114" s="540">
        <f t="shared" si="45"/>
        <v>48579</v>
      </c>
      <c r="BF114" s="540">
        <f t="shared" si="45"/>
        <v>48944</v>
      </c>
      <c r="BG114" s="540">
        <f t="shared" si="45"/>
        <v>48944</v>
      </c>
      <c r="BH114" s="540">
        <f t="shared" si="45"/>
        <v>48944</v>
      </c>
      <c r="BI114" s="540">
        <f t="shared" si="45"/>
        <v>48944</v>
      </c>
      <c r="BJ114" s="540">
        <f t="shared" si="45"/>
        <v>49309</v>
      </c>
      <c r="BK114" s="540">
        <f t="shared" si="45"/>
        <v>49309</v>
      </c>
      <c r="BL114" s="540">
        <f t="shared" si="45"/>
        <v>49309</v>
      </c>
      <c r="BM114" s="540">
        <f t="shared" si="45"/>
        <v>49309</v>
      </c>
      <c r="BN114" s="540">
        <f t="shared" si="45"/>
        <v>49674</v>
      </c>
      <c r="BO114" s="540">
        <f t="shared" si="45"/>
        <v>49674</v>
      </c>
      <c r="BP114" s="540">
        <f t="shared" si="45"/>
        <v>49674</v>
      </c>
      <c r="BQ114" s="540">
        <f t="shared" si="45"/>
        <v>49674</v>
      </c>
      <c r="BR114" s="540">
        <f t="shared" si="45"/>
        <v>50040</v>
      </c>
      <c r="BS114" s="540">
        <f t="shared" si="45"/>
        <v>50040</v>
      </c>
      <c r="BT114" s="540">
        <f t="shared" si="45"/>
        <v>50040</v>
      </c>
      <c r="BU114" s="540">
        <f t="shared" si="45"/>
        <v>50040</v>
      </c>
      <c r="BV114" s="540">
        <f t="shared" si="45"/>
        <v>50405</v>
      </c>
      <c r="BW114" s="540">
        <f t="shared" si="45"/>
        <v>50405</v>
      </c>
      <c r="BX114" s="540">
        <f t="shared" si="45"/>
        <v>50405</v>
      </c>
      <c r="BY114" s="540">
        <f t="shared" si="45"/>
        <v>50405</v>
      </c>
      <c r="BZ114" s="540">
        <f t="shared" si="45"/>
        <v>50770</v>
      </c>
      <c r="CA114" s="540">
        <f t="shared" si="45"/>
        <v>50770</v>
      </c>
      <c r="CB114" s="540">
        <f t="shared" si="45"/>
        <v>50770</v>
      </c>
      <c r="CC114" s="540">
        <f t="shared" si="45"/>
        <v>50770</v>
      </c>
      <c r="CD114" s="540">
        <f t="shared" si="45"/>
        <v>51135</v>
      </c>
      <c r="CE114" s="540">
        <f t="shared" si="45"/>
        <v>51135</v>
      </c>
      <c r="CF114" s="540">
        <f t="shared" si="45"/>
        <v>51135</v>
      </c>
      <c r="CG114" s="540">
        <f t="shared" si="45"/>
        <v>51135</v>
      </c>
      <c r="CH114" s="540">
        <f t="shared" si="45"/>
        <v>51501</v>
      </c>
      <c r="CI114" s="540">
        <f t="shared" si="45"/>
        <v>51501</v>
      </c>
      <c r="CJ114" s="540">
        <f t="shared" si="45"/>
        <v>51501</v>
      </c>
      <c r="CK114" s="540">
        <f t="shared" si="45"/>
        <v>51501</v>
      </c>
      <c r="CL114" s="540">
        <f t="shared" si="45"/>
        <v>51866</v>
      </c>
      <c r="CM114" s="540">
        <f t="shared" si="45"/>
        <v>51866</v>
      </c>
      <c r="CN114" s="540">
        <f t="shared" si="45"/>
        <v>51866</v>
      </c>
      <c r="CO114" s="540">
        <f t="shared" si="45"/>
        <v>51866</v>
      </c>
      <c r="CP114" s="540">
        <f t="shared" si="45"/>
        <v>52231</v>
      </c>
      <c r="CQ114" s="540">
        <f t="shared" si="45"/>
        <v>52231</v>
      </c>
      <c r="CR114" s="540">
        <f t="shared" si="45"/>
        <v>52231</v>
      </c>
      <c r="CS114" s="540">
        <f t="shared" si="45"/>
        <v>52231</v>
      </c>
      <c r="CT114" s="540">
        <f t="shared" si="45"/>
        <v>52596</v>
      </c>
      <c r="CU114" s="540">
        <f t="shared" si="45"/>
        <v>52596</v>
      </c>
      <c r="CV114" s="540">
        <f t="shared" si="45"/>
        <v>52596</v>
      </c>
      <c r="CW114" s="540">
        <f t="shared" si="45"/>
        <v>52596</v>
      </c>
      <c r="CX114" s="540">
        <f t="shared" si="45"/>
        <v>52962</v>
      </c>
      <c r="CY114" s="540">
        <f t="shared" si="45"/>
        <v>52962</v>
      </c>
      <c r="CZ114" s="540">
        <f t="shared" si="45"/>
        <v>52962</v>
      </c>
      <c r="DA114" s="540">
        <f t="shared" si="45"/>
        <v>52962</v>
      </c>
      <c r="DB114" s="540">
        <f t="shared" si="45"/>
        <v>53327</v>
      </c>
      <c r="DC114" s="540">
        <f t="shared" si="45"/>
        <v>53327</v>
      </c>
      <c r="DD114" s="540">
        <f t="shared" si="45"/>
        <v>53327</v>
      </c>
      <c r="DE114" s="540">
        <f t="shared" si="45"/>
        <v>53327</v>
      </c>
      <c r="DF114" s="540">
        <f t="shared" si="45"/>
        <v>53692</v>
      </c>
      <c r="DG114" s="540">
        <f t="shared" si="45"/>
        <v>53692</v>
      </c>
      <c r="DH114" s="540">
        <f t="shared" si="45"/>
        <v>53692</v>
      </c>
      <c r="DI114" s="540">
        <f t="shared" si="45"/>
        <v>53692</v>
      </c>
      <c r="DJ114" s="540">
        <f t="shared" si="45"/>
        <v>54057</v>
      </c>
      <c r="DK114" s="540">
        <f t="shared" si="45"/>
        <v>54057</v>
      </c>
      <c r="DL114" s="540">
        <f t="shared" si="45"/>
        <v>54057</v>
      </c>
      <c r="DM114" s="540">
        <f t="shared" si="45"/>
        <v>54057</v>
      </c>
      <c r="DN114" s="540">
        <f t="shared" si="45"/>
        <v>54423</v>
      </c>
      <c r="DO114" s="540">
        <f t="shared" si="45"/>
        <v>54423</v>
      </c>
      <c r="DP114" s="540">
        <f t="shared" si="45"/>
        <v>54423</v>
      </c>
      <c r="DQ114" s="540">
        <f t="shared" si="45"/>
        <v>54423</v>
      </c>
      <c r="DR114" s="540">
        <f t="shared" si="45"/>
        <v>54788</v>
      </c>
      <c r="DS114" s="540">
        <f t="shared" si="45"/>
        <v>54788</v>
      </c>
      <c r="DT114" s="540">
        <f t="shared" si="45"/>
        <v>54788</v>
      </c>
      <c r="DU114" s="540">
        <f t="shared" si="45"/>
        <v>54788</v>
      </c>
      <c r="DV114" s="540">
        <f t="shared" si="45"/>
        <v>55153</v>
      </c>
      <c r="DW114" s="540">
        <f t="shared" si="45"/>
        <v>55153</v>
      </c>
      <c r="DX114" s="540">
        <f t="shared" si="45"/>
        <v>55153</v>
      </c>
      <c r="DY114" s="540">
        <f t="shared" si="45"/>
        <v>55153</v>
      </c>
      <c r="DZ114" s="540">
        <f t="shared" si="45"/>
        <v>55518</v>
      </c>
      <c r="EA114" s="540">
        <f t="shared" si="45"/>
        <v>55518</v>
      </c>
      <c r="EB114" s="540">
        <f t="shared" si="45"/>
        <v>55518</v>
      </c>
      <c r="EC114" s="540">
        <f t="shared" si="45"/>
        <v>55518</v>
      </c>
      <c r="ED114" s="540">
        <f t="shared" si="45"/>
        <v>55884</v>
      </c>
      <c r="EE114" s="540">
        <f t="shared" si="45"/>
        <v>55884</v>
      </c>
      <c r="EF114" s="540">
        <f t="shared" si="45"/>
        <v>55884</v>
      </c>
      <c r="EG114" s="540">
        <f t="shared" si="45"/>
        <v>55884</v>
      </c>
      <c r="EH114" s="540">
        <f t="shared" si="45"/>
        <v>56249</v>
      </c>
      <c r="EI114" s="540">
        <f t="shared" si="45"/>
        <v>56249</v>
      </c>
      <c r="EJ114" s="540">
        <f t="shared" si="45"/>
        <v>56249</v>
      </c>
      <c r="EK114" s="540">
        <f t="shared" si="45"/>
        <v>56249</v>
      </c>
      <c r="EL114" s="540">
        <f t="shared" si="45"/>
        <v>56614</v>
      </c>
      <c r="EM114" s="540">
        <f t="shared" si="45"/>
        <v>56614</v>
      </c>
      <c r="EN114" s="540">
        <f t="shared" si="45"/>
        <v>56614</v>
      </c>
      <c r="EO114" s="540">
        <f t="shared" si="45"/>
        <v>56614</v>
      </c>
      <c r="EP114" s="540">
        <f t="shared" si="45"/>
        <v>56979</v>
      </c>
      <c r="EQ114" s="540">
        <f t="shared" si="45"/>
        <v>56979</v>
      </c>
      <c r="ER114" s="540">
        <f t="shared" si="45"/>
        <v>56979</v>
      </c>
      <c r="ES114" s="540">
        <f t="shared" si="45"/>
        <v>56979</v>
      </c>
      <c r="ET114" s="540">
        <f t="shared" si="45"/>
        <v>57345</v>
      </c>
      <c r="EU114" s="540">
        <f t="shared" si="45"/>
        <v>57345</v>
      </c>
      <c r="EV114" s="540">
        <f t="shared" si="45"/>
        <v>57345</v>
      </c>
      <c r="EW114" s="540">
        <f t="shared" si="45"/>
        <v>57345</v>
      </c>
      <c r="EX114" s="540">
        <f t="shared" si="45"/>
        <v>57710</v>
      </c>
      <c r="EY114" s="540">
        <f t="shared" si="45"/>
        <v>57710</v>
      </c>
      <c r="EZ114" s="540">
        <f t="shared" si="45"/>
        <v>57710</v>
      </c>
      <c r="FA114" s="540">
        <f t="shared" si="45"/>
        <v>57710</v>
      </c>
      <c r="FB114" s="540">
        <f t="shared" si="45"/>
        <v>58075</v>
      </c>
      <c r="FC114" s="540">
        <f t="shared" si="45"/>
        <v>58075</v>
      </c>
      <c r="FD114" s="540">
        <f t="shared" si="45"/>
        <v>58075</v>
      </c>
      <c r="FE114" s="540">
        <f t="shared" si="45"/>
        <v>58075</v>
      </c>
      <c r="FF114" s="540">
        <f t="shared" si="45"/>
        <v>58440</v>
      </c>
      <c r="FG114" s="540">
        <f t="shared" si="45"/>
        <v>58440</v>
      </c>
      <c r="FH114" s="540">
        <f t="shared" si="45"/>
        <v>58440</v>
      </c>
      <c r="FI114" s="540">
        <f t="shared" si="45"/>
        <v>58440</v>
      </c>
      <c r="FJ114" s="540">
        <f t="shared" si="45"/>
        <v>58806</v>
      </c>
      <c r="FK114" s="540">
        <f t="shared" si="45"/>
        <v>58806</v>
      </c>
      <c r="FL114" s="540">
        <f t="shared" si="45"/>
        <v>58806</v>
      </c>
      <c r="FM114" s="540">
        <f t="shared" si="45"/>
        <v>58806</v>
      </c>
      <c r="FN114" s="540">
        <f t="shared" si="45"/>
        <v>59171</v>
      </c>
      <c r="FO114" s="540">
        <f t="shared" si="45"/>
        <v>59171</v>
      </c>
      <c r="FP114" s="540">
        <f t="shared" si="45"/>
        <v>59171</v>
      </c>
      <c r="FQ114" s="540">
        <f t="shared" si="45"/>
        <v>59171</v>
      </c>
      <c r="FR114" s="540">
        <f t="shared" si="45"/>
        <v>59536</v>
      </c>
      <c r="FS114" s="540">
        <f t="shared" si="45"/>
        <v>59536</v>
      </c>
      <c r="FT114" s="540">
        <f t="shared" si="45"/>
        <v>59536</v>
      </c>
      <c r="FU114" s="540">
        <f t="shared" si="45"/>
        <v>59536</v>
      </c>
      <c r="FV114" s="540">
        <f t="shared" si="45"/>
        <v>59901</v>
      </c>
      <c r="FW114" s="540">
        <f t="shared" si="45"/>
        <v>59901</v>
      </c>
      <c r="FX114" s="540">
        <f t="shared" si="45"/>
        <v>59901</v>
      </c>
      <c r="FY114" s="540">
        <f t="shared" si="45"/>
        <v>59901</v>
      </c>
      <c r="FZ114" s="540">
        <f t="shared" si="45"/>
        <v>60267</v>
      </c>
      <c r="GA114" s="540">
        <f t="shared" si="45"/>
        <v>60267</v>
      </c>
      <c r="GB114" s="540">
        <f t="shared" si="45"/>
        <v>60267</v>
      </c>
      <c r="GC114" s="540">
        <f t="shared" si="45"/>
        <v>60267</v>
      </c>
      <c r="GD114" s="540">
        <f t="shared" si="45"/>
        <v>60632</v>
      </c>
      <c r="GE114" s="540">
        <f t="shared" si="45"/>
        <v>60632</v>
      </c>
      <c r="GF114" s="540">
        <f t="shared" si="45"/>
        <v>60632</v>
      </c>
      <c r="GG114" s="540">
        <f t="shared" si="45"/>
        <v>60632</v>
      </c>
      <c r="GH114" s="540">
        <f t="shared" si="45"/>
        <v>60997</v>
      </c>
      <c r="GI114" s="540">
        <f t="shared" si="45"/>
        <v>60997</v>
      </c>
      <c r="GJ114" s="540">
        <f t="shared" si="45"/>
        <v>60997</v>
      </c>
    </row>
    <row r="116" spans="5:192" ht="12.75">
      <c r="E116" s="535" t="str">
        <f>E$114</f>
        <v>Financial year end applicable to period</v>
      </c>
      <c r="G116" s="540" t="str">
        <f>G$114</f>
        <v>date</v>
      </c>
      <c r="J116" s="540">
        <f t="shared" si="46" ref="J116:GJ116">J$114</f>
        <v>46387</v>
      </c>
      <c r="K116" s="540">
        <f t="shared" si="46"/>
        <v>46387</v>
      </c>
      <c r="L116" s="540">
        <f t="shared" si="46"/>
        <v>46387</v>
      </c>
      <c r="M116" s="540">
        <f t="shared" si="46"/>
        <v>46387</v>
      </c>
      <c r="N116" s="540">
        <f t="shared" si="46"/>
        <v>46387</v>
      </c>
      <c r="O116" s="540">
        <f t="shared" si="46"/>
        <v>46387</v>
      </c>
      <c r="P116" s="540">
        <f t="shared" si="46"/>
        <v>46387</v>
      </c>
      <c r="Q116" s="540">
        <f t="shared" si="46"/>
        <v>46387</v>
      </c>
      <c r="R116" s="540">
        <f t="shared" si="46"/>
        <v>46387</v>
      </c>
      <c r="S116" s="540">
        <f t="shared" si="46"/>
        <v>46387</v>
      </c>
      <c r="T116" s="540">
        <f t="shared" si="46"/>
        <v>46387</v>
      </c>
      <c r="U116" s="540">
        <f t="shared" si="46"/>
        <v>46387</v>
      </c>
      <c r="V116" s="540">
        <f t="shared" si="46"/>
        <v>46752</v>
      </c>
      <c r="W116" s="540">
        <f t="shared" si="46"/>
        <v>46752</v>
      </c>
      <c r="X116" s="540">
        <f t="shared" si="46"/>
        <v>46752</v>
      </c>
      <c r="Y116" s="540">
        <f t="shared" si="46"/>
        <v>46752</v>
      </c>
      <c r="Z116" s="540">
        <f t="shared" si="46"/>
        <v>46752</v>
      </c>
      <c r="AA116" s="540">
        <f t="shared" si="46"/>
        <v>46752</v>
      </c>
      <c r="AB116" s="540">
        <f t="shared" si="46"/>
        <v>46752</v>
      </c>
      <c r="AC116" s="540">
        <f t="shared" si="46"/>
        <v>46752</v>
      </c>
      <c r="AD116" s="540">
        <f t="shared" si="46"/>
        <v>46752</v>
      </c>
      <c r="AE116" s="540">
        <f t="shared" si="46"/>
        <v>46752</v>
      </c>
      <c r="AF116" s="540">
        <f t="shared" si="46"/>
        <v>46752</v>
      </c>
      <c r="AG116" s="540">
        <f t="shared" si="46"/>
        <v>46752</v>
      </c>
      <c r="AH116" s="540">
        <f t="shared" si="46"/>
        <v>47118</v>
      </c>
      <c r="AI116" s="540">
        <f t="shared" si="46"/>
        <v>47118</v>
      </c>
      <c r="AJ116" s="540">
        <f t="shared" si="46"/>
        <v>47118</v>
      </c>
      <c r="AK116" s="540">
        <f t="shared" si="46"/>
        <v>47118</v>
      </c>
      <c r="AL116" s="540">
        <f t="shared" si="46"/>
        <v>47118</v>
      </c>
      <c r="AM116" s="540">
        <f t="shared" si="46"/>
        <v>47118</v>
      </c>
      <c r="AN116" s="540">
        <f t="shared" si="46"/>
        <v>47118</v>
      </c>
      <c r="AO116" s="540">
        <f t="shared" si="46"/>
        <v>47118</v>
      </c>
      <c r="AP116" s="540">
        <f t="shared" si="46"/>
        <v>47483</v>
      </c>
      <c r="AQ116" s="540">
        <f t="shared" si="46"/>
        <v>47483</v>
      </c>
      <c r="AR116" s="540">
        <f t="shared" si="46"/>
        <v>47483</v>
      </c>
      <c r="AS116" s="540">
        <f t="shared" si="46"/>
        <v>47483</v>
      </c>
      <c r="AT116" s="540">
        <f t="shared" si="46"/>
        <v>47848</v>
      </c>
      <c r="AU116" s="540">
        <f t="shared" si="46"/>
        <v>47848</v>
      </c>
      <c r="AV116" s="540">
        <f t="shared" si="46"/>
        <v>47848</v>
      </c>
      <c r="AW116" s="540">
        <f t="shared" si="46"/>
        <v>47848</v>
      </c>
      <c r="AX116" s="540">
        <f t="shared" si="46"/>
        <v>48213</v>
      </c>
      <c r="AY116" s="540">
        <f t="shared" si="46"/>
        <v>48213</v>
      </c>
      <c r="AZ116" s="540">
        <f t="shared" si="46"/>
        <v>48213</v>
      </c>
      <c r="BA116" s="540">
        <f t="shared" si="46"/>
        <v>48213</v>
      </c>
      <c r="BB116" s="540">
        <f t="shared" si="46"/>
        <v>48579</v>
      </c>
      <c r="BC116" s="540">
        <f t="shared" si="46"/>
        <v>48579</v>
      </c>
      <c r="BD116" s="540">
        <f t="shared" si="46"/>
        <v>48579</v>
      </c>
      <c r="BE116" s="540">
        <f t="shared" si="46"/>
        <v>48579</v>
      </c>
      <c r="BF116" s="540">
        <f t="shared" si="46"/>
        <v>48944</v>
      </c>
      <c r="BG116" s="540">
        <f t="shared" si="46"/>
        <v>48944</v>
      </c>
      <c r="BH116" s="540">
        <f t="shared" si="46"/>
        <v>48944</v>
      </c>
      <c r="BI116" s="540">
        <f t="shared" si="46"/>
        <v>48944</v>
      </c>
      <c r="BJ116" s="540">
        <f t="shared" si="46"/>
        <v>49309</v>
      </c>
      <c r="BK116" s="540">
        <f t="shared" si="46"/>
        <v>49309</v>
      </c>
      <c r="BL116" s="540">
        <f t="shared" si="46"/>
        <v>49309</v>
      </c>
      <c r="BM116" s="540">
        <f t="shared" si="46"/>
        <v>49309</v>
      </c>
      <c r="BN116" s="540">
        <f t="shared" si="46"/>
        <v>49674</v>
      </c>
      <c r="BO116" s="540">
        <f t="shared" si="46"/>
        <v>49674</v>
      </c>
      <c r="BP116" s="540">
        <f t="shared" si="46"/>
        <v>49674</v>
      </c>
      <c r="BQ116" s="540">
        <f t="shared" si="46"/>
        <v>49674</v>
      </c>
      <c r="BR116" s="540">
        <f t="shared" si="46"/>
        <v>50040</v>
      </c>
      <c r="BS116" s="540">
        <f t="shared" si="46"/>
        <v>50040</v>
      </c>
      <c r="BT116" s="540">
        <f t="shared" si="46"/>
        <v>50040</v>
      </c>
      <c r="BU116" s="540">
        <f t="shared" si="46"/>
        <v>50040</v>
      </c>
      <c r="BV116" s="540">
        <f t="shared" si="46"/>
        <v>50405</v>
      </c>
      <c r="BW116" s="540">
        <f t="shared" si="46"/>
        <v>50405</v>
      </c>
      <c r="BX116" s="540">
        <f t="shared" si="46"/>
        <v>50405</v>
      </c>
      <c r="BY116" s="540">
        <f t="shared" si="46"/>
        <v>50405</v>
      </c>
      <c r="BZ116" s="540">
        <f t="shared" si="46"/>
        <v>50770</v>
      </c>
      <c r="CA116" s="540">
        <f t="shared" si="46"/>
        <v>50770</v>
      </c>
      <c r="CB116" s="540">
        <f t="shared" si="46"/>
        <v>50770</v>
      </c>
      <c r="CC116" s="540">
        <f t="shared" si="46"/>
        <v>50770</v>
      </c>
      <c r="CD116" s="540">
        <f t="shared" si="46"/>
        <v>51135</v>
      </c>
      <c r="CE116" s="540">
        <f t="shared" si="46"/>
        <v>51135</v>
      </c>
      <c r="CF116" s="540">
        <f t="shared" si="46"/>
        <v>51135</v>
      </c>
      <c r="CG116" s="540">
        <f t="shared" si="46"/>
        <v>51135</v>
      </c>
      <c r="CH116" s="540">
        <f t="shared" si="46"/>
        <v>51501</v>
      </c>
      <c r="CI116" s="540">
        <f t="shared" si="46"/>
        <v>51501</v>
      </c>
      <c r="CJ116" s="540">
        <f t="shared" si="46"/>
        <v>51501</v>
      </c>
      <c r="CK116" s="540">
        <f t="shared" si="46"/>
        <v>51501</v>
      </c>
      <c r="CL116" s="540">
        <f t="shared" si="46"/>
        <v>51866</v>
      </c>
      <c r="CM116" s="540">
        <f t="shared" si="46"/>
        <v>51866</v>
      </c>
      <c r="CN116" s="540">
        <f t="shared" si="46"/>
        <v>51866</v>
      </c>
      <c r="CO116" s="540">
        <f t="shared" si="46"/>
        <v>51866</v>
      </c>
      <c r="CP116" s="540">
        <f t="shared" si="46"/>
        <v>52231</v>
      </c>
      <c r="CQ116" s="540">
        <f t="shared" si="46"/>
        <v>52231</v>
      </c>
      <c r="CR116" s="540">
        <f t="shared" si="46"/>
        <v>52231</v>
      </c>
      <c r="CS116" s="540">
        <f t="shared" si="46"/>
        <v>52231</v>
      </c>
      <c r="CT116" s="540">
        <f t="shared" si="46"/>
        <v>52596</v>
      </c>
      <c r="CU116" s="540">
        <f t="shared" si="46"/>
        <v>52596</v>
      </c>
      <c r="CV116" s="540">
        <f t="shared" si="46"/>
        <v>52596</v>
      </c>
      <c r="CW116" s="540">
        <f t="shared" si="46"/>
        <v>52596</v>
      </c>
      <c r="CX116" s="540">
        <f t="shared" si="46"/>
        <v>52962</v>
      </c>
      <c r="CY116" s="540">
        <f t="shared" si="46"/>
        <v>52962</v>
      </c>
      <c r="CZ116" s="540">
        <f t="shared" si="46"/>
        <v>52962</v>
      </c>
      <c r="DA116" s="540">
        <f t="shared" si="46"/>
        <v>52962</v>
      </c>
      <c r="DB116" s="540">
        <f t="shared" si="46"/>
        <v>53327</v>
      </c>
      <c r="DC116" s="540">
        <f t="shared" si="46"/>
        <v>53327</v>
      </c>
      <c r="DD116" s="540">
        <f t="shared" si="46"/>
        <v>53327</v>
      </c>
      <c r="DE116" s="540">
        <f t="shared" si="46"/>
        <v>53327</v>
      </c>
      <c r="DF116" s="540">
        <f t="shared" si="46"/>
        <v>53692</v>
      </c>
      <c r="DG116" s="540">
        <f t="shared" si="46"/>
        <v>53692</v>
      </c>
      <c r="DH116" s="540">
        <f t="shared" si="46"/>
        <v>53692</v>
      </c>
      <c r="DI116" s="540">
        <f t="shared" si="46"/>
        <v>53692</v>
      </c>
      <c r="DJ116" s="540">
        <f t="shared" si="46"/>
        <v>54057</v>
      </c>
      <c r="DK116" s="540">
        <f t="shared" si="46"/>
        <v>54057</v>
      </c>
      <c r="DL116" s="540">
        <f t="shared" si="46"/>
        <v>54057</v>
      </c>
      <c r="DM116" s="540">
        <f t="shared" si="46"/>
        <v>54057</v>
      </c>
      <c r="DN116" s="540">
        <f t="shared" si="46"/>
        <v>54423</v>
      </c>
      <c r="DO116" s="540">
        <f t="shared" si="46"/>
        <v>54423</v>
      </c>
      <c r="DP116" s="540">
        <f t="shared" si="46"/>
        <v>54423</v>
      </c>
      <c r="DQ116" s="540">
        <f t="shared" si="46"/>
        <v>54423</v>
      </c>
      <c r="DR116" s="540">
        <f t="shared" si="46"/>
        <v>54788</v>
      </c>
      <c r="DS116" s="540">
        <f t="shared" si="46"/>
        <v>54788</v>
      </c>
      <c r="DT116" s="540">
        <f t="shared" si="46"/>
        <v>54788</v>
      </c>
      <c r="DU116" s="540">
        <f t="shared" si="46"/>
        <v>54788</v>
      </c>
      <c r="DV116" s="540">
        <f t="shared" si="46"/>
        <v>55153</v>
      </c>
      <c r="DW116" s="540">
        <f t="shared" si="46"/>
        <v>55153</v>
      </c>
      <c r="DX116" s="540">
        <f t="shared" si="46"/>
        <v>55153</v>
      </c>
      <c r="DY116" s="540">
        <f t="shared" si="46"/>
        <v>55153</v>
      </c>
      <c r="DZ116" s="540">
        <f t="shared" si="46"/>
        <v>55518</v>
      </c>
      <c r="EA116" s="540">
        <f t="shared" si="46"/>
        <v>55518</v>
      </c>
      <c r="EB116" s="540">
        <f t="shared" si="46"/>
        <v>55518</v>
      </c>
      <c r="EC116" s="540">
        <f t="shared" si="46"/>
        <v>55518</v>
      </c>
      <c r="ED116" s="540">
        <f t="shared" si="46"/>
        <v>55884</v>
      </c>
      <c r="EE116" s="540">
        <f t="shared" si="46"/>
        <v>55884</v>
      </c>
      <c r="EF116" s="540">
        <f t="shared" si="46"/>
        <v>55884</v>
      </c>
      <c r="EG116" s="540">
        <f t="shared" si="46"/>
        <v>55884</v>
      </c>
      <c r="EH116" s="540">
        <f t="shared" si="46"/>
        <v>56249</v>
      </c>
      <c r="EI116" s="540">
        <f t="shared" si="46"/>
        <v>56249</v>
      </c>
      <c r="EJ116" s="540">
        <f t="shared" si="46"/>
        <v>56249</v>
      </c>
      <c r="EK116" s="540">
        <f t="shared" si="46"/>
        <v>56249</v>
      </c>
      <c r="EL116" s="540">
        <f t="shared" si="46"/>
        <v>56614</v>
      </c>
      <c r="EM116" s="540">
        <f t="shared" si="46"/>
        <v>56614</v>
      </c>
      <c r="EN116" s="540">
        <f t="shared" si="46"/>
        <v>56614</v>
      </c>
      <c r="EO116" s="540">
        <f t="shared" si="46"/>
        <v>56614</v>
      </c>
      <c r="EP116" s="540">
        <f t="shared" si="46"/>
        <v>56979</v>
      </c>
      <c r="EQ116" s="540">
        <f t="shared" si="46"/>
        <v>56979</v>
      </c>
      <c r="ER116" s="540">
        <f t="shared" si="46"/>
        <v>56979</v>
      </c>
      <c r="ES116" s="540">
        <f t="shared" si="46"/>
        <v>56979</v>
      </c>
      <c r="ET116" s="540">
        <f t="shared" si="46"/>
        <v>57345</v>
      </c>
      <c r="EU116" s="540">
        <f t="shared" si="46"/>
        <v>57345</v>
      </c>
      <c r="EV116" s="540">
        <f t="shared" si="46"/>
        <v>57345</v>
      </c>
      <c r="EW116" s="540">
        <f t="shared" si="46"/>
        <v>57345</v>
      </c>
      <c r="EX116" s="540">
        <f t="shared" si="46"/>
        <v>57710</v>
      </c>
      <c r="EY116" s="540">
        <f t="shared" si="46"/>
        <v>57710</v>
      </c>
      <c r="EZ116" s="540">
        <f t="shared" si="46"/>
        <v>57710</v>
      </c>
      <c r="FA116" s="540">
        <f t="shared" si="46"/>
        <v>57710</v>
      </c>
      <c r="FB116" s="540">
        <f t="shared" si="46"/>
        <v>58075</v>
      </c>
      <c r="FC116" s="540">
        <f t="shared" si="46"/>
        <v>58075</v>
      </c>
      <c r="FD116" s="540">
        <f t="shared" si="46"/>
        <v>58075</v>
      </c>
      <c r="FE116" s="540">
        <f t="shared" si="46"/>
        <v>58075</v>
      </c>
      <c r="FF116" s="540">
        <f t="shared" si="46"/>
        <v>58440</v>
      </c>
      <c r="FG116" s="540">
        <f t="shared" si="46"/>
        <v>58440</v>
      </c>
      <c r="FH116" s="540">
        <f t="shared" si="46"/>
        <v>58440</v>
      </c>
      <c r="FI116" s="540">
        <f t="shared" si="46"/>
        <v>58440</v>
      </c>
      <c r="FJ116" s="540">
        <f t="shared" si="46"/>
        <v>58806</v>
      </c>
      <c r="FK116" s="540">
        <f t="shared" si="46"/>
        <v>58806</v>
      </c>
      <c r="FL116" s="540">
        <f t="shared" si="46"/>
        <v>58806</v>
      </c>
      <c r="FM116" s="540">
        <f t="shared" si="46"/>
        <v>58806</v>
      </c>
      <c r="FN116" s="540">
        <f t="shared" si="46"/>
        <v>59171</v>
      </c>
      <c r="FO116" s="540">
        <f t="shared" si="46"/>
        <v>59171</v>
      </c>
      <c r="FP116" s="540">
        <f t="shared" si="46"/>
        <v>59171</v>
      </c>
      <c r="FQ116" s="540">
        <f t="shared" si="46"/>
        <v>59171</v>
      </c>
      <c r="FR116" s="540">
        <f t="shared" si="46"/>
        <v>59536</v>
      </c>
      <c r="FS116" s="540">
        <f t="shared" si="46"/>
        <v>59536</v>
      </c>
      <c r="FT116" s="540">
        <f t="shared" si="46"/>
        <v>59536</v>
      </c>
      <c r="FU116" s="540">
        <f t="shared" si="46"/>
        <v>59536</v>
      </c>
      <c r="FV116" s="540">
        <f t="shared" si="46"/>
        <v>59901</v>
      </c>
      <c r="FW116" s="540">
        <f t="shared" si="46"/>
        <v>59901</v>
      </c>
      <c r="FX116" s="540">
        <f t="shared" si="46"/>
        <v>59901</v>
      </c>
      <c r="FY116" s="540">
        <f t="shared" si="46"/>
        <v>59901</v>
      </c>
      <c r="FZ116" s="540">
        <f t="shared" si="46"/>
        <v>60267</v>
      </c>
      <c r="GA116" s="540">
        <f t="shared" si="46"/>
        <v>60267</v>
      </c>
      <c r="GB116" s="540">
        <f t="shared" si="46"/>
        <v>60267</v>
      </c>
      <c r="GC116" s="540">
        <f t="shared" si="46"/>
        <v>60267</v>
      </c>
      <c r="GD116" s="540">
        <f t="shared" si="46"/>
        <v>60632</v>
      </c>
      <c r="GE116" s="540">
        <f t="shared" si="46"/>
        <v>60632</v>
      </c>
      <c r="GF116" s="540">
        <f t="shared" si="46"/>
        <v>60632</v>
      </c>
      <c r="GG116" s="540">
        <f t="shared" si="46"/>
        <v>60632</v>
      </c>
      <c r="GH116" s="540">
        <f t="shared" si="46"/>
        <v>60997</v>
      </c>
      <c r="GI116" s="540">
        <f t="shared" si="46"/>
        <v>60997</v>
      </c>
      <c r="GJ116" s="540">
        <f t="shared" si="46"/>
        <v>60997</v>
      </c>
    </row>
    <row r="117" spans="5:192" ht="12.75">
      <c r="E117" s="535" t="s">
        <v>41</v>
      </c>
      <c r="G117" s="537" t="s">
        <v>74</v>
      </c>
      <c r="H117" s="537">
        <f>SUM(J117:GJ117)</f>
        <v>374014</v>
      </c>
      <c r="J117" s="537">
        <f t="shared" si="47" ref="J117:GJ117">YEAR(J116)</f>
        <v>2026</v>
      </c>
      <c r="K117" s="537">
        <f t="shared" si="47"/>
        <v>2026</v>
      </c>
      <c r="L117" s="537">
        <f t="shared" si="47"/>
        <v>2026</v>
      </c>
      <c r="M117" s="537">
        <f t="shared" si="47"/>
        <v>2026</v>
      </c>
      <c r="N117" s="537">
        <f t="shared" si="47"/>
        <v>2026</v>
      </c>
      <c r="O117" s="537">
        <f t="shared" si="47"/>
        <v>2026</v>
      </c>
      <c r="P117" s="537">
        <f t="shared" si="47"/>
        <v>2026</v>
      </c>
      <c r="Q117" s="537">
        <f t="shared" si="47"/>
        <v>2026</v>
      </c>
      <c r="R117" s="537">
        <f t="shared" si="47"/>
        <v>2026</v>
      </c>
      <c r="S117" s="537">
        <f t="shared" si="47"/>
        <v>2026</v>
      </c>
      <c r="T117" s="537">
        <f t="shared" si="47"/>
        <v>2026</v>
      </c>
      <c r="U117" s="537">
        <f t="shared" si="47"/>
        <v>2026</v>
      </c>
      <c r="V117" s="537">
        <f t="shared" si="47"/>
        <v>2027</v>
      </c>
      <c r="W117" s="537">
        <f t="shared" si="47"/>
        <v>2027</v>
      </c>
      <c r="X117" s="537">
        <f t="shared" si="47"/>
        <v>2027</v>
      </c>
      <c r="Y117" s="537">
        <f t="shared" si="47"/>
        <v>2027</v>
      </c>
      <c r="Z117" s="537">
        <f t="shared" si="47"/>
        <v>2027</v>
      </c>
      <c r="AA117" s="537">
        <f t="shared" si="47"/>
        <v>2027</v>
      </c>
      <c r="AB117" s="537">
        <f t="shared" si="47"/>
        <v>2027</v>
      </c>
      <c r="AC117" s="537">
        <f t="shared" si="47"/>
        <v>2027</v>
      </c>
      <c r="AD117" s="537">
        <f t="shared" si="47"/>
        <v>2027</v>
      </c>
      <c r="AE117" s="537">
        <f t="shared" si="47"/>
        <v>2027</v>
      </c>
      <c r="AF117" s="537">
        <f t="shared" si="47"/>
        <v>2027</v>
      </c>
      <c r="AG117" s="537">
        <f t="shared" si="47"/>
        <v>2027</v>
      </c>
      <c r="AH117" s="537">
        <f t="shared" si="47"/>
        <v>2028</v>
      </c>
      <c r="AI117" s="537">
        <f t="shared" si="47"/>
        <v>2028</v>
      </c>
      <c r="AJ117" s="537">
        <f t="shared" si="47"/>
        <v>2028</v>
      </c>
      <c r="AK117" s="537">
        <f t="shared" si="47"/>
        <v>2028</v>
      </c>
      <c r="AL117" s="537">
        <f t="shared" si="47"/>
        <v>2028</v>
      </c>
      <c r="AM117" s="537">
        <f t="shared" si="47"/>
        <v>2028</v>
      </c>
      <c r="AN117" s="537">
        <f t="shared" si="47"/>
        <v>2028</v>
      </c>
      <c r="AO117" s="537">
        <f t="shared" si="47"/>
        <v>2028</v>
      </c>
      <c r="AP117" s="537">
        <f t="shared" si="47"/>
        <v>2029</v>
      </c>
      <c r="AQ117" s="537">
        <f t="shared" si="47"/>
        <v>2029</v>
      </c>
      <c r="AR117" s="537">
        <f t="shared" si="47"/>
        <v>2029</v>
      </c>
      <c r="AS117" s="537">
        <f t="shared" si="47"/>
        <v>2029</v>
      </c>
      <c r="AT117" s="537">
        <f t="shared" si="47"/>
        <v>2030</v>
      </c>
      <c r="AU117" s="537">
        <f t="shared" si="47"/>
        <v>2030</v>
      </c>
      <c r="AV117" s="537">
        <f t="shared" si="47"/>
        <v>2030</v>
      </c>
      <c r="AW117" s="537">
        <f t="shared" si="47"/>
        <v>2030</v>
      </c>
      <c r="AX117" s="537">
        <f t="shared" si="47"/>
        <v>2031</v>
      </c>
      <c r="AY117" s="537">
        <f t="shared" si="47"/>
        <v>2031</v>
      </c>
      <c r="AZ117" s="537">
        <f t="shared" si="47"/>
        <v>2031</v>
      </c>
      <c r="BA117" s="537">
        <f t="shared" si="47"/>
        <v>2031</v>
      </c>
      <c r="BB117" s="537">
        <f t="shared" si="47"/>
        <v>2032</v>
      </c>
      <c r="BC117" s="537">
        <f t="shared" si="47"/>
        <v>2032</v>
      </c>
      <c r="BD117" s="537">
        <f t="shared" si="47"/>
        <v>2032</v>
      </c>
      <c r="BE117" s="537">
        <f t="shared" si="47"/>
        <v>2032</v>
      </c>
      <c r="BF117" s="537">
        <f t="shared" si="47"/>
        <v>2033</v>
      </c>
      <c r="BG117" s="537">
        <f t="shared" si="47"/>
        <v>2033</v>
      </c>
      <c r="BH117" s="537">
        <f t="shared" si="47"/>
        <v>2033</v>
      </c>
      <c r="BI117" s="537">
        <f t="shared" si="47"/>
        <v>2033</v>
      </c>
      <c r="BJ117" s="537">
        <f t="shared" si="47"/>
        <v>2034</v>
      </c>
      <c r="BK117" s="537">
        <f t="shared" si="47"/>
        <v>2034</v>
      </c>
      <c r="BL117" s="537">
        <f t="shared" si="47"/>
        <v>2034</v>
      </c>
      <c r="BM117" s="537">
        <f t="shared" si="47"/>
        <v>2034</v>
      </c>
      <c r="BN117" s="537">
        <f t="shared" si="47"/>
        <v>2035</v>
      </c>
      <c r="BO117" s="537">
        <f t="shared" si="47"/>
        <v>2035</v>
      </c>
      <c r="BP117" s="537">
        <f t="shared" si="47"/>
        <v>2035</v>
      </c>
      <c r="BQ117" s="537">
        <f t="shared" si="47"/>
        <v>2035</v>
      </c>
      <c r="BR117" s="537">
        <f t="shared" si="47"/>
        <v>2036</v>
      </c>
      <c r="BS117" s="537">
        <f t="shared" si="47"/>
        <v>2036</v>
      </c>
      <c r="BT117" s="537">
        <f t="shared" si="47"/>
        <v>2036</v>
      </c>
      <c r="BU117" s="537">
        <f t="shared" si="47"/>
        <v>2036</v>
      </c>
      <c r="BV117" s="537">
        <f t="shared" si="47"/>
        <v>2037</v>
      </c>
      <c r="BW117" s="537">
        <f t="shared" si="47"/>
        <v>2037</v>
      </c>
      <c r="BX117" s="537">
        <f t="shared" si="47"/>
        <v>2037</v>
      </c>
      <c r="BY117" s="537">
        <f t="shared" si="47"/>
        <v>2037</v>
      </c>
      <c r="BZ117" s="537">
        <f t="shared" si="47"/>
        <v>2038</v>
      </c>
      <c r="CA117" s="537">
        <f t="shared" si="47"/>
        <v>2038</v>
      </c>
      <c r="CB117" s="537">
        <f t="shared" si="47"/>
        <v>2038</v>
      </c>
      <c r="CC117" s="537">
        <f t="shared" si="47"/>
        <v>2038</v>
      </c>
      <c r="CD117" s="537">
        <f t="shared" si="47"/>
        <v>2039</v>
      </c>
      <c r="CE117" s="537">
        <f t="shared" si="47"/>
        <v>2039</v>
      </c>
      <c r="CF117" s="537">
        <f t="shared" si="47"/>
        <v>2039</v>
      </c>
      <c r="CG117" s="537">
        <f t="shared" si="47"/>
        <v>2039</v>
      </c>
      <c r="CH117" s="537">
        <f t="shared" si="47"/>
        <v>2040</v>
      </c>
      <c r="CI117" s="537">
        <f t="shared" si="47"/>
        <v>2040</v>
      </c>
      <c r="CJ117" s="537">
        <f t="shared" si="47"/>
        <v>2040</v>
      </c>
      <c r="CK117" s="537">
        <f t="shared" si="47"/>
        <v>2040</v>
      </c>
      <c r="CL117" s="537">
        <f t="shared" si="47"/>
        <v>2041</v>
      </c>
      <c r="CM117" s="537">
        <f t="shared" si="47"/>
        <v>2041</v>
      </c>
      <c r="CN117" s="537">
        <f t="shared" si="47"/>
        <v>2041</v>
      </c>
      <c r="CO117" s="537">
        <f t="shared" si="47"/>
        <v>2041</v>
      </c>
      <c r="CP117" s="537">
        <f t="shared" si="47"/>
        <v>2042</v>
      </c>
      <c r="CQ117" s="537">
        <f t="shared" si="47"/>
        <v>2042</v>
      </c>
      <c r="CR117" s="537">
        <f t="shared" si="47"/>
        <v>2042</v>
      </c>
      <c r="CS117" s="537">
        <f t="shared" si="47"/>
        <v>2042</v>
      </c>
      <c r="CT117" s="537">
        <f t="shared" si="47"/>
        <v>2043</v>
      </c>
      <c r="CU117" s="537">
        <f t="shared" si="47"/>
        <v>2043</v>
      </c>
      <c r="CV117" s="537">
        <f t="shared" si="47"/>
        <v>2043</v>
      </c>
      <c r="CW117" s="537">
        <f t="shared" si="47"/>
        <v>2043</v>
      </c>
      <c r="CX117" s="537">
        <f t="shared" si="47"/>
        <v>2044</v>
      </c>
      <c r="CY117" s="537">
        <f t="shared" si="47"/>
        <v>2044</v>
      </c>
      <c r="CZ117" s="537">
        <f t="shared" si="47"/>
        <v>2044</v>
      </c>
      <c r="DA117" s="537">
        <f t="shared" si="47"/>
        <v>2044</v>
      </c>
      <c r="DB117" s="537">
        <f t="shared" si="47"/>
        <v>2045</v>
      </c>
      <c r="DC117" s="537">
        <f t="shared" si="47"/>
        <v>2045</v>
      </c>
      <c r="DD117" s="537">
        <f t="shared" si="47"/>
        <v>2045</v>
      </c>
      <c r="DE117" s="537">
        <f t="shared" si="47"/>
        <v>2045</v>
      </c>
      <c r="DF117" s="537">
        <f t="shared" si="47"/>
        <v>2046</v>
      </c>
      <c r="DG117" s="537">
        <f t="shared" si="47"/>
        <v>2046</v>
      </c>
      <c r="DH117" s="537">
        <f t="shared" si="47"/>
        <v>2046</v>
      </c>
      <c r="DI117" s="537">
        <f t="shared" si="47"/>
        <v>2046</v>
      </c>
      <c r="DJ117" s="537">
        <f t="shared" si="47"/>
        <v>2047</v>
      </c>
      <c r="DK117" s="537">
        <f t="shared" si="47"/>
        <v>2047</v>
      </c>
      <c r="DL117" s="537">
        <f t="shared" si="47"/>
        <v>2047</v>
      </c>
      <c r="DM117" s="537">
        <f t="shared" si="47"/>
        <v>2047</v>
      </c>
      <c r="DN117" s="537">
        <f t="shared" si="47"/>
        <v>2048</v>
      </c>
      <c r="DO117" s="537">
        <f t="shared" si="47"/>
        <v>2048</v>
      </c>
      <c r="DP117" s="537">
        <f t="shared" si="47"/>
        <v>2048</v>
      </c>
      <c r="DQ117" s="537">
        <f t="shared" si="47"/>
        <v>2048</v>
      </c>
      <c r="DR117" s="537">
        <f t="shared" si="47"/>
        <v>2049</v>
      </c>
      <c r="DS117" s="537">
        <f t="shared" si="47"/>
        <v>2049</v>
      </c>
      <c r="DT117" s="537">
        <f t="shared" si="47"/>
        <v>2049</v>
      </c>
      <c r="DU117" s="537">
        <f t="shared" si="47"/>
        <v>2049</v>
      </c>
      <c r="DV117" s="537">
        <f t="shared" si="47"/>
        <v>2050</v>
      </c>
      <c r="DW117" s="537">
        <f t="shared" si="47"/>
        <v>2050</v>
      </c>
      <c r="DX117" s="537">
        <f t="shared" si="47"/>
        <v>2050</v>
      </c>
      <c r="DY117" s="537">
        <f t="shared" si="47"/>
        <v>2050</v>
      </c>
      <c r="DZ117" s="537">
        <f t="shared" si="47"/>
        <v>2051</v>
      </c>
      <c r="EA117" s="537">
        <f t="shared" si="47"/>
        <v>2051</v>
      </c>
      <c r="EB117" s="537">
        <f t="shared" si="47"/>
        <v>2051</v>
      </c>
      <c r="EC117" s="537">
        <f t="shared" si="47"/>
        <v>2051</v>
      </c>
      <c r="ED117" s="537">
        <f t="shared" si="47"/>
        <v>2052</v>
      </c>
      <c r="EE117" s="537">
        <f t="shared" si="47"/>
        <v>2052</v>
      </c>
      <c r="EF117" s="537">
        <f t="shared" si="47"/>
        <v>2052</v>
      </c>
      <c r="EG117" s="537">
        <f t="shared" si="47"/>
        <v>2052</v>
      </c>
      <c r="EH117" s="537">
        <f t="shared" si="47"/>
        <v>2053</v>
      </c>
      <c r="EI117" s="537">
        <f t="shared" si="47"/>
        <v>2053</v>
      </c>
      <c r="EJ117" s="537">
        <f t="shared" si="47"/>
        <v>2053</v>
      </c>
      <c r="EK117" s="537">
        <f t="shared" si="47"/>
        <v>2053</v>
      </c>
      <c r="EL117" s="537">
        <f t="shared" si="47"/>
        <v>2054</v>
      </c>
      <c r="EM117" s="537">
        <f t="shared" si="47"/>
        <v>2054</v>
      </c>
      <c r="EN117" s="537">
        <f t="shared" si="47"/>
        <v>2054</v>
      </c>
      <c r="EO117" s="537">
        <f t="shared" si="47"/>
        <v>2054</v>
      </c>
      <c r="EP117" s="537">
        <f t="shared" si="47"/>
        <v>2055</v>
      </c>
      <c r="EQ117" s="537">
        <f t="shared" si="47"/>
        <v>2055</v>
      </c>
      <c r="ER117" s="537">
        <f t="shared" si="47"/>
        <v>2055</v>
      </c>
      <c r="ES117" s="537">
        <f t="shared" si="47"/>
        <v>2055</v>
      </c>
      <c r="ET117" s="537">
        <f t="shared" si="47"/>
        <v>2056</v>
      </c>
      <c r="EU117" s="537">
        <f t="shared" si="47"/>
        <v>2056</v>
      </c>
      <c r="EV117" s="537">
        <f t="shared" si="47"/>
        <v>2056</v>
      </c>
      <c r="EW117" s="537">
        <f t="shared" si="47"/>
        <v>2056</v>
      </c>
      <c r="EX117" s="537">
        <f t="shared" si="47"/>
        <v>2057</v>
      </c>
      <c r="EY117" s="537">
        <f t="shared" si="47"/>
        <v>2057</v>
      </c>
      <c r="EZ117" s="537">
        <f t="shared" si="47"/>
        <v>2057</v>
      </c>
      <c r="FA117" s="537">
        <f t="shared" si="47"/>
        <v>2057</v>
      </c>
      <c r="FB117" s="537">
        <f t="shared" si="47"/>
        <v>2058</v>
      </c>
      <c r="FC117" s="537">
        <f t="shared" si="47"/>
        <v>2058</v>
      </c>
      <c r="FD117" s="537">
        <f t="shared" si="47"/>
        <v>2058</v>
      </c>
      <c r="FE117" s="537">
        <f t="shared" si="47"/>
        <v>2058</v>
      </c>
      <c r="FF117" s="537">
        <f t="shared" si="47"/>
        <v>2059</v>
      </c>
      <c r="FG117" s="537">
        <f t="shared" si="47"/>
        <v>2059</v>
      </c>
      <c r="FH117" s="537">
        <f t="shared" si="47"/>
        <v>2059</v>
      </c>
      <c r="FI117" s="537">
        <f t="shared" si="47"/>
        <v>2059</v>
      </c>
      <c r="FJ117" s="537">
        <f t="shared" si="47"/>
        <v>2060</v>
      </c>
      <c r="FK117" s="537">
        <f t="shared" si="47"/>
        <v>2060</v>
      </c>
      <c r="FL117" s="537">
        <f t="shared" si="47"/>
        <v>2060</v>
      </c>
      <c r="FM117" s="537">
        <f t="shared" si="47"/>
        <v>2060</v>
      </c>
      <c r="FN117" s="537">
        <f t="shared" si="47"/>
        <v>2061</v>
      </c>
      <c r="FO117" s="537">
        <f t="shared" si="47"/>
        <v>2061</v>
      </c>
      <c r="FP117" s="537">
        <f t="shared" si="47"/>
        <v>2061</v>
      </c>
      <c r="FQ117" s="537">
        <f t="shared" si="47"/>
        <v>2061</v>
      </c>
      <c r="FR117" s="537">
        <f t="shared" si="47"/>
        <v>2062</v>
      </c>
      <c r="FS117" s="537">
        <f t="shared" si="47"/>
        <v>2062</v>
      </c>
      <c r="FT117" s="537">
        <f t="shared" si="47"/>
        <v>2062</v>
      </c>
      <c r="FU117" s="537">
        <f t="shared" si="47"/>
        <v>2062</v>
      </c>
      <c r="FV117" s="537">
        <f t="shared" si="47"/>
        <v>2063</v>
      </c>
      <c r="FW117" s="537">
        <f t="shared" si="47"/>
        <v>2063</v>
      </c>
      <c r="FX117" s="537">
        <f t="shared" si="47"/>
        <v>2063</v>
      </c>
      <c r="FY117" s="537">
        <f t="shared" si="47"/>
        <v>2063</v>
      </c>
      <c r="FZ117" s="537">
        <f t="shared" si="47"/>
        <v>2064</v>
      </c>
      <c r="GA117" s="537">
        <f t="shared" si="47"/>
        <v>2064</v>
      </c>
      <c r="GB117" s="537">
        <f t="shared" si="47"/>
        <v>2064</v>
      </c>
      <c r="GC117" s="537">
        <f t="shared" si="47"/>
        <v>2064</v>
      </c>
      <c r="GD117" s="537">
        <f t="shared" si="47"/>
        <v>2065</v>
      </c>
      <c r="GE117" s="537">
        <f t="shared" si="47"/>
        <v>2065</v>
      </c>
      <c r="GF117" s="537">
        <f t="shared" si="47"/>
        <v>2065</v>
      </c>
      <c r="GG117" s="537">
        <f t="shared" si="47"/>
        <v>2065</v>
      </c>
      <c r="GH117" s="537">
        <f t="shared" si="47"/>
        <v>2066</v>
      </c>
      <c r="GI117" s="537">
        <f t="shared" si="47"/>
        <v>2066</v>
      </c>
      <c r="GJ117" s="537">
        <f t="shared" si="47"/>
        <v>2066</v>
      </c>
    </row>
    <row r="119" spans="2:2" ht="12.75">
      <c r="B119" s="534" t="s">
        <v>29</v>
      </c>
    </row>
    <row r="120" spans="5:192" ht="12.75">
      <c r="E120" s="535" t="str">
        <f>E$16</f>
        <v>First model column flag</v>
      </c>
      <c r="G120" s="537" t="str">
        <f>G$16</f>
        <v>flag</v>
      </c>
      <c r="H120" s="537">
        <f>H$16</f>
        <v>1</v>
      </c>
      <c r="J120" s="537">
        <f t="shared" si="48" ref="J120:GJ120">J$16</f>
        <v>1</v>
      </c>
      <c r="K120" s="537">
        <f t="shared" si="48"/>
        <v>0</v>
      </c>
      <c r="L120" s="537">
        <f t="shared" si="48"/>
        <v>0</v>
      </c>
      <c r="M120" s="537">
        <f t="shared" si="48"/>
        <v>0</v>
      </c>
      <c r="N120" s="537">
        <f t="shared" si="48"/>
        <v>0</v>
      </c>
      <c r="O120" s="537">
        <f t="shared" si="48"/>
        <v>0</v>
      </c>
      <c r="P120" s="537">
        <f t="shared" si="48"/>
        <v>0</v>
      </c>
      <c r="Q120" s="537">
        <f t="shared" si="48"/>
        <v>0</v>
      </c>
      <c r="R120" s="537">
        <f t="shared" si="48"/>
        <v>0</v>
      </c>
      <c r="S120" s="537">
        <f t="shared" si="48"/>
        <v>0</v>
      </c>
      <c r="T120" s="537">
        <f t="shared" si="48"/>
        <v>0</v>
      </c>
      <c r="U120" s="537">
        <f t="shared" si="48"/>
        <v>0</v>
      </c>
      <c r="V120" s="537">
        <f t="shared" si="48"/>
        <v>0</v>
      </c>
      <c r="W120" s="537">
        <f t="shared" si="48"/>
        <v>0</v>
      </c>
      <c r="X120" s="537">
        <f t="shared" si="48"/>
        <v>0</v>
      </c>
      <c r="Y120" s="537">
        <f t="shared" si="48"/>
        <v>0</v>
      </c>
      <c r="Z120" s="537">
        <f t="shared" si="48"/>
        <v>0</v>
      </c>
      <c r="AA120" s="537">
        <f t="shared" si="48"/>
        <v>0</v>
      </c>
      <c r="AB120" s="537">
        <f t="shared" si="48"/>
        <v>0</v>
      </c>
      <c r="AC120" s="537">
        <f t="shared" si="48"/>
        <v>0</v>
      </c>
      <c r="AD120" s="537">
        <f t="shared" si="48"/>
        <v>0</v>
      </c>
      <c r="AE120" s="537">
        <f t="shared" si="48"/>
        <v>0</v>
      </c>
      <c r="AF120" s="537">
        <f t="shared" si="48"/>
        <v>0</v>
      </c>
      <c r="AG120" s="537">
        <f t="shared" si="48"/>
        <v>0</v>
      </c>
      <c r="AH120" s="537">
        <f t="shared" si="48"/>
        <v>0</v>
      </c>
      <c r="AI120" s="537">
        <f t="shared" si="48"/>
        <v>0</v>
      </c>
      <c r="AJ120" s="537">
        <f t="shared" si="48"/>
        <v>0</v>
      </c>
      <c r="AK120" s="537">
        <f t="shared" si="48"/>
        <v>0</v>
      </c>
      <c r="AL120" s="537">
        <f t="shared" si="48"/>
        <v>0</v>
      </c>
      <c r="AM120" s="537">
        <f t="shared" si="48"/>
        <v>0</v>
      </c>
      <c r="AN120" s="537">
        <f t="shared" si="48"/>
        <v>0</v>
      </c>
      <c r="AO120" s="537">
        <f t="shared" si="48"/>
        <v>0</v>
      </c>
      <c r="AP120" s="537">
        <f t="shared" si="48"/>
        <v>0</v>
      </c>
      <c r="AQ120" s="537">
        <f t="shared" si="48"/>
        <v>0</v>
      </c>
      <c r="AR120" s="537">
        <f t="shared" si="48"/>
        <v>0</v>
      </c>
      <c r="AS120" s="537">
        <f t="shared" si="48"/>
        <v>0</v>
      </c>
      <c r="AT120" s="537">
        <f t="shared" si="48"/>
        <v>0</v>
      </c>
      <c r="AU120" s="537">
        <f t="shared" si="48"/>
        <v>0</v>
      </c>
      <c r="AV120" s="537">
        <f t="shared" si="48"/>
        <v>0</v>
      </c>
      <c r="AW120" s="537">
        <f t="shared" si="48"/>
        <v>0</v>
      </c>
      <c r="AX120" s="537">
        <f t="shared" si="48"/>
        <v>0</v>
      </c>
      <c r="AY120" s="537">
        <f t="shared" si="48"/>
        <v>0</v>
      </c>
      <c r="AZ120" s="537">
        <f t="shared" si="48"/>
        <v>0</v>
      </c>
      <c r="BA120" s="537">
        <f t="shared" si="48"/>
        <v>0</v>
      </c>
      <c r="BB120" s="537">
        <f t="shared" si="48"/>
        <v>0</v>
      </c>
      <c r="BC120" s="537">
        <f t="shared" si="48"/>
        <v>0</v>
      </c>
      <c r="BD120" s="537">
        <f t="shared" si="48"/>
        <v>0</v>
      </c>
      <c r="BE120" s="537">
        <f t="shared" si="48"/>
        <v>0</v>
      </c>
      <c r="BF120" s="537">
        <f t="shared" si="48"/>
        <v>0</v>
      </c>
      <c r="BG120" s="537">
        <f t="shared" si="48"/>
        <v>0</v>
      </c>
      <c r="BH120" s="537">
        <f t="shared" si="48"/>
        <v>0</v>
      </c>
      <c r="BI120" s="537">
        <f t="shared" si="48"/>
        <v>0</v>
      </c>
      <c r="BJ120" s="537">
        <f t="shared" si="48"/>
        <v>0</v>
      </c>
      <c r="BK120" s="537">
        <f t="shared" si="48"/>
        <v>0</v>
      </c>
      <c r="BL120" s="537">
        <f t="shared" si="48"/>
        <v>0</v>
      </c>
      <c r="BM120" s="537">
        <f t="shared" si="48"/>
        <v>0</v>
      </c>
      <c r="BN120" s="537">
        <f t="shared" si="48"/>
        <v>0</v>
      </c>
      <c r="BO120" s="537">
        <f t="shared" si="48"/>
        <v>0</v>
      </c>
      <c r="BP120" s="537">
        <f t="shared" si="48"/>
        <v>0</v>
      </c>
      <c r="BQ120" s="537">
        <f t="shared" si="48"/>
        <v>0</v>
      </c>
      <c r="BR120" s="537">
        <f t="shared" si="48"/>
        <v>0</v>
      </c>
      <c r="BS120" s="537">
        <f t="shared" si="48"/>
        <v>0</v>
      </c>
      <c r="BT120" s="537">
        <f t="shared" si="48"/>
        <v>0</v>
      </c>
      <c r="BU120" s="537">
        <f t="shared" si="48"/>
        <v>0</v>
      </c>
      <c r="BV120" s="537">
        <f t="shared" si="48"/>
        <v>0</v>
      </c>
      <c r="BW120" s="537">
        <f t="shared" si="48"/>
        <v>0</v>
      </c>
      <c r="BX120" s="537">
        <f t="shared" si="48"/>
        <v>0</v>
      </c>
      <c r="BY120" s="537">
        <f t="shared" si="48"/>
        <v>0</v>
      </c>
      <c r="BZ120" s="537">
        <f t="shared" si="48"/>
        <v>0</v>
      </c>
      <c r="CA120" s="537">
        <f t="shared" si="48"/>
        <v>0</v>
      </c>
      <c r="CB120" s="537">
        <f t="shared" si="48"/>
        <v>0</v>
      </c>
      <c r="CC120" s="537">
        <f t="shared" si="48"/>
        <v>0</v>
      </c>
      <c r="CD120" s="537">
        <f t="shared" si="48"/>
        <v>0</v>
      </c>
      <c r="CE120" s="537">
        <f t="shared" si="48"/>
        <v>0</v>
      </c>
      <c r="CF120" s="537">
        <f t="shared" si="48"/>
        <v>0</v>
      </c>
      <c r="CG120" s="537">
        <f t="shared" si="48"/>
        <v>0</v>
      </c>
      <c r="CH120" s="537">
        <f t="shared" si="48"/>
        <v>0</v>
      </c>
      <c r="CI120" s="537">
        <f t="shared" si="48"/>
        <v>0</v>
      </c>
      <c r="CJ120" s="537">
        <f t="shared" si="48"/>
        <v>0</v>
      </c>
      <c r="CK120" s="537">
        <f t="shared" si="48"/>
        <v>0</v>
      </c>
      <c r="CL120" s="537">
        <f t="shared" si="48"/>
        <v>0</v>
      </c>
      <c r="CM120" s="537">
        <f t="shared" si="48"/>
        <v>0</v>
      </c>
      <c r="CN120" s="537">
        <f t="shared" si="48"/>
        <v>0</v>
      </c>
      <c r="CO120" s="537">
        <f t="shared" si="48"/>
        <v>0</v>
      </c>
      <c r="CP120" s="537">
        <f t="shared" si="48"/>
        <v>0</v>
      </c>
      <c r="CQ120" s="537">
        <f t="shared" si="48"/>
        <v>0</v>
      </c>
      <c r="CR120" s="537">
        <f t="shared" si="48"/>
        <v>0</v>
      </c>
      <c r="CS120" s="537">
        <f t="shared" si="48"/>
        <v>0</v>
      </c>
      <c r="CT120" s="537">
        <f t="shared" si="48"/>
        <v>0</v>
      </c>
      <c r="CU120" s="537">
        <f t="shared" si="48"/>
        <v>0</v>
      </c>
      <c r="CV120" s="537">
        <f t="shared" si="48"/>
        <v>0</v>
      </c>
      <c r="CW120" s="537">
        <f t="shared" si="48"/>
        <v>0</v>
      </c>
      <c r="CX120" s="537">
        <f t="shared" si="48"/>
        <v>0</v>
      </c>
      <c r="CY120" s="537">
        <f t="shared" si="48"/>
        <v>0</v>
      </c>
      <c r="CZ120" s="537">
        <f t="shared" si="48"/>
        <v>0</v>
      </c>
      <c r="DA120" s="537">
        <f t="shared" si="48"/>
        <v>0</v>
      </c>
      <c r="DB120" s="537">
        <f t="shared" si="48"/>
        <v>0</v>
      </c>
      <c r="DC120" s="537">
        <f t="shared" si="48"/>
        <v>0</v>
      </c>
      <c r="DD120" s="537">
        <f t="shared" si="48"/>
        <v>0</v>
      </c>
      <c r="DE120" s="537">
        <f t="shared" si="48"/>
        <v>0</v>
      </c>
      <c r="DF120" s="537">
        <f t="shared" si="48"/>
        <v>0</v>
      </c>
      <c r="DG120" s="537">
        <f t="shared" si="48"/>
        <v>0</v>
      </c>
      <c r="DH120" s="537">
        <f t="shared" si="48"/>
        <v>0</v>
      </c>
      <c r="DI120" s="537">
        <f t="shared" si="48"/>
        <v>0</v>
      </c>
      <c r="DJ120" s="537">
        <f t="shared" si="48"/>
        <v>0</v>
      </c>
      <c r="DK120" s="537">
        <f t="shared" si="48"/>
        <v>0</v>
      </c>
      <c r="DL120" s="537">
        <f t="shared" si="48"/>
        <v>0</v>
      </c>
      <c r="DM120" s="537">
        <f t="shared" si="48"/>
        <v>0</v>
      </c>
      <c r="DN120" s="537">
        <f t="shared" si="48"/>
        <v>0</v>
      </c>
      <c r="DO120" s="537">
        <f t="shared" si="48"/>
        <v>0</v>
      </c>
      <c r="DP120" s="537">
        <f t="shared" si="48"/>
        <v>0</v>
      </c>
      <c r="DQ120" s="537">
        <f t="shared" si="48"/>
        <v>0</v>
      </c>
      <c r="DR120" s="537">
        <f t="shared" si="48"/>
        <v>0</v>
      </c>
      <c r="DS120" s="537">
        <f t="shared" si="48"/>
        <v>0</v>
      </c>
      <c r="DT120" s="537">
        <f t="shared" si="48"/>
        <v>0</v>
      </c>
      <c r="DU120" s="537">
        <f t="shared" si="48"/>
        <v>0</v>
      </c>
      <c r="DV120" s="537">
        <f t="shared" si="48"/>
        <v>0</v>
      </c>
      <c r="DW120" s="537">
        <f t="shared" si="48"/>
        <v>0</v>
      </c>
      <c r="DX120" s="537">
        <f t="shared" si="48"/>
        <v>0</v>
      </c>
      <c r="DY120" s="537">
        <f t="shared" si="48"/>
        <v>0</v>
      </c>
      <c r="DZ120" s="537">
        <f t="shared" si="48"/>
        <v>0</v>
      </c>
      <c r="EA120" s="537">
        <f t="shared" si="48"/>
        <v>0</v>
      </c>
      <c r="EB120" s="537">
        <f t="shared" si="48"/>
        <v>0</v>
      </c>
      <c r="EC120" s="537">
        <f t="shared" si="48"/>
        <v>0</v>
      </c>
      <c r="ED120" s="537">
        <f t="shared" si="48"/>
        <v>0</v>
      </c>
      <c r="EE120" s="537">
        <f t="shared" si="48"/>
        <v>0</v>
      </c>
      <c r="EF120" s="537">
        <f t="shared" si="48"/>
        <v>0</v>
      </c>
      <c r="EG120" s="537">
        <f t="shared" si="48"/>
        <v>0</v>
      </c>
      <c r="EH120" s="537">
        <f t="shared" si="48"/>
        <v>0</v>
      </c>
      <c r="EI120" s="537">
        <f t="shared" si="48"/>
        <v>0</v>
      </c>
      <c r="EJ120" s="537">
        <f t="shared" si="48"/>
        <v>0</v>
      </c>
      <c r="EK120" s="537">
        <f t="shared" si="48"/>
        <v>0</v>
      </c>
      <c r="EL120" s="537">
        <f t="shared" si="48"/>
        <v>0</v>
      </c>
      <c r="EM120" s="537">
        <f t="shared" si="48"/>
        <v>0</v>
      </c>
      <c r="EN120" s="537">
        <f t="shared" si="48"/>
        <v>0</v>
      </c>
      <c r="EO120" s="537">
        <f t="shared" si="48"/>
        <v>0</v>
      </c>
      <c r="EP120" s="537">
        <f t="shared" si="48"/>
        <v>0</v>
      </c>
      <c r="EQ120" s="537">
        <f t="shared" si="48"/>
        <v>0</v>
      </c>
      <c r="ER120" s="537">
        <f t="shared" si="48"/>
        <v>0</v>
      </c>
      <c r="ES120" s="537">
        <f t="shared" si="48"/>
        <v>0</v>
      </c>
      <c r="ET120" s="537">
        <f t="shared" si="48"/>
        <v>0</v>
      </c>
      <c r="EU120" s="537">
        <f t="shared" si="48"/>
        <v>0</v>
      </c>
      <c r="EV120" s="537">
        <f t="shared" si="48"/>
        <v>0</v>
      </c>
      <c r="EW120" s="537">
        <f t="shared" si="48"/>
        <v>0</v>
      </c>
      <c r="EX120" s="537">
        <f t="shared" si="48"/>
        <v>0</v>
      </c>
      <c r="EY120" s="537">
        <f t="shared" si="48"/>
        <v>0</v>
      </c>
      <c r="EZ120" s="537">
        <f t="shared" si="48"/>
        <v>0</v>
      </c>
      <c r="FA120" s="537">
        <f t="shared" si="48"/>
        <v>0</v>
      </c>
      <c r="FB120" s="537">
        <f t="shared" si="48"/>
        <v>0</v>
      </c>
      <c r="FC120" s="537">
        <f t="shared" si="48"/>
        <v>0</v>
      </c>
      <c r="FD120" s="537">
        <f t="shared" si="48"/>
        <v>0</v>
      </c>
      <c r="FE120" s="537">
        <f t="shared" si="48"/>
        <v>0</v>
      </c>
      <c r="FF120" s="537">
        <f t="shared" si="48"/>
        <v>0</v>
      </c>
      <c r="FG120" s="537">
        <f t="shared" si="48"/>
        <v>0</v>
      </c>
      <c r="FH120" s="537">
        <f t="shared" si="48"/>
        <v>0</v>
      </c>
      <c r="FI120" s="537">
        <f t="shared" si="48"/>
        <v>0</v>
      </c>
      <c r="FJ120" s="537">
        <f t="shared" si="48"/>
        <v>0</v>
      </c>
      <c r="FK120" s="537">
        <f t="shared" si="48"/>
        <v>0</v>
      </c>
      <c r="FL120" s="537">
        <f t="shared" si="48"/>
        <v>0</v>
      </c>
      <c r="FM120" s="537">
        <f t="shared" si="48"/>
        <v>0</v>
      </c>
      <c r="FN120" s="537">
        <f t="shared" si="48"/>
        <v>0</v>
      </c>
      <c r="FO120" s="537">
        <f t="shared" si="48"/>
        <v>0</v>
      </c>
      <c r="FP120" s="537">
        <f t="shared" si="48"/>
        <v>0</v>
      </c>
      <c r="FQ120" s="537">
        <f t="shared" si="48"/>
        <v>0</v>
      </c>
      <c r="FR120" s="537">
        <f t="shared" si="48"/>
        <v>0</v>
      </c>
      <c r="FS120" s="537">
        <f t="shared" si="48"/>
        <v>0</v>
      </c>
      <c r="FT120" s="537">
        <f t="shared" si="48"/>
        <v>0</v>
      </c>
      <c r="FU120" s="537">
        <f t="shared" si="48"/>
        <v>0</v>
      </c>
      <c r="FV120" s="537">
        <f t="shared" si="48"/>
        <v>0</v>
      </c>
      <c r="FW120" s="537">
        <f t="shared" si="48"/>
        <v>0</v>
      </c>
      <c r="FX120" s="537">
        <f t="shared" si="48"/>
        <v>0</v>
      </c>
      <c r="FY120" s="537">
        <f t="shared" si="48"/>
        <v>0</v>
      </c>
      <c r="FZ120" s="537">
        <f t="shared" si="48"/>
        <v>0</v>
      </c>
      <c r="GA120" s="537">
        <f t="shared" si="48"/>
        <v>0</v>
      </c>
      <c r="GB120" s="537">
        <f t="shared" si="48"/>
        <v>0</v>
      </c>
      <c r="GC120" s="537">
        <f t="shared" si="48"/>
        <v>0</v>
      </c>
      <c r="GD120" s="537">
        <f t="shared" si="48"/>
        <v>0</v>
      </c>
      <c r="GE120" s="537">
        <f t="shared" si="48"/>
        <v>0</v>
      </c>
      <c r="GF120" s="537">
        <f t="shared" si="48"/>
        <v>0</v>
      </c>
      <c r="GG120" s="537">
        <f t="shared" si="48"/>
        <v>0</v>
      </c>
      <c r="GH120" s="537">
        <f t="shared" si="48"/>
        <v>0</v>
      </c>
      <c r="GI120" s="537">
        <f t="shared" si="48"/>
        <v>0</v>
      </c>
      <c r="GJ120" s="537">
        <f t="shared" si="48"/>
        <v>0</v>
      </c>
    </row>
    <row r="121" spans="5:192" ht="12.75">
      <c r="E121" s="535" t="str">
        <f>E$58</f>
        <v>Financial close date flag</v>
      </c>
      <c r="G121" s="537" t="str">
        <f>G$58</f>
        <v>flag</v>
      </c>
      <c r="H121" s="537">
        <f>H$58</f>
        <v>1</v>
      </c>
      <c r="J121" s="537">
        <f t="shared" si="49" ref="J121:GJ121">J$58</f>
        <v>0</v>
      </c>
      <c r="K121" s="537">
        <f t="shared" si="49"/>
        <v>0</v>
      </c>
      <c r="L121" s="537">
        <f t="shared" si="49"/>
        <v>0</v>
      </c>
      <c r="M121" s="537">
        <f t="shared" si="49"/>
        <v>0</v>
      </c>
      <c r="N121" s="537">
        <f t="shared" si="49"/>
        <v>0</v>
      </c>
      <c r="O121" s="537">
        <f t="shared" si="49"/>
        <v>1</v>
      </c>
      <c r="P121" s="537">
        <f t="shared" si="49"/>
        <v>0</v>
      </c>
      <c r="Q121" s="537">
        <f t="shared" si="49"/>
        <v>0</v>
      </c>
      <c r="R121" s="537">
        <f t="shared" si="49"/>
        <v>0</v>
      </c>
      <c r="S121" s="537">
        <f t="shared" si="49"/>
        <v>0</v>
      </c>
      <c r="T121" s="537">
        <f t="shared" si="49"/>
        <v>0</v>
      </c>
      <c r="U121" s="537">
        <f t="shared" si="49"/>
        <v>0</v>
      </c>
      <c r="V121" s="537">
        <f t="shared" si="49"/>
        <v>0</v>
      </c>
      <c r="W121" s="537">
        <f t="shared" si="49"/>
        <v>0</v>
      </c>
      <c r="X121" s="537">
        <f t="shared" si="49"/>
        <v>0</v>
      </c>
      <c r="Y121" s="537">
        <f t="shared" si="49"/>
        <v>0</v>
      </c>
      <c r="Z121" s="537">
        <f t="shared" si="49"/>
        <v>0</v>
      </c>
      <c r="AA121" s="537">
        <f t="shared" si="49"/>
        <v>0</v>
      </c>
      <c r="AB121" s="537">
        <f t="shared" si="49"/>
        <v>0</v>
      </c>
      <c r="AC121" s="537">
        <f t="shared" si="49"/>
        <v>0</v>
      </c>
      <c r="AD121" s="537">
        <f t="shared" si="49"/>
        <v>0</v>
      </c>
      <c r="AE121" s="537">
        <f t="shared" si="49"/>
        <v>0</v>
      </c>
      <c r="AF121" s="537">
        <f t="shared" si="49"/>
        <v>0</v>
      </c>
      <c r="AG121" s="537">
        <f t="shared" si="49"/>
        <v>0</v>
      </c>
      <c r="AH121" s="537">
        <f t="shared" si="49"/>
        <v>0</v>
      </c>
      <c r="AI121" s="537">
        <f t="shared" si="49"/>
        <v>0</v>
      </c>
      <c r="AJ121" s="537">
        <f t="shared" si="49"/>
        <v>0</v>
      </c>
      <c r="AK121" s="537">
        <f t="shared" si="49"/>
        <v>0</v>
      </c>
      <c r="AL121" s="537">
        <f t="shared" si="49"/>
        <v>0</v>
      </c>
      <c r="AM121" s="537">
        <f t="shared" si="49"/>
        <v>0</v>
      </c>
      <c r="AN121" s="537">
        <f t="shared" si="49"/>
        <v>0</v>
      </c>
      <c r="AO121" s="537">
        <f t="shared" si="49"/>
        <v>0</v>
      </c>
      <c r="AP121" s="537">
        <f t="shared" si="49"/>
        <v>0</v>
      </c>
      <c r="AQ121" s="537">
        <f t="shared" si="49"/>
        <v>0</v>
      </c>
      <c r="AR121" s="537">
        <f t="shared" si="49"/>
        <v>0</v>
      </c>
      <c r="AS121" s="537">
        <f t="shared" si="49"/>
        <v>0</v>
      </c>
      <c r="AT121" s="537">
        <f t="shared" si="49"/>
        <v>0</v>
      </c>
      <c r="AU121" s="537">
        <f t="shared" si="49"/>
        <v>0</v>
      </c>
      <c r="AV121" s="537">
        <f t="shared" si="49"/>
        <v>0</v>
      </c>
      <c r="AW121" s="537">
        <f t="shared" si="49"/>
        <v>0</v>
      </c>
      <c r="AX121" s="537">
        <f t="shared" si="49"/>
        <v>0</v>
      </c>
      <c r="AY121" s="537">
        <f t="shared" si="49"/>
        <v>0</v>
      </c>
      <c r="AZ121" s="537">
        <f t="shared" si="49"/>
        <v>0</v>
      </c>
      <c r="BA121" s="537">
        <f t="shared" si="49"/>
        <v>0</v>
      </c>
      <c r="BB121" s="537">
        <f t="shared" si="49"/>
        <v>0</v>
      </c>
      <c r="BC121" s="537">
        <f t="shared" si="49"/>
        <v>0</v>
      </c>
      <c r="BD121" s="537">
        <f t="shared" si="49"/>
        <v>0</v>
      </c>
      <c r="BE121" s="537">
        <f t="shared" si="49"/>
        <v>0</v>
      </c>
      <c r="BF121" s="537">
        <f t="shared" si="49"/>
        <v>0</v>
      </c>
      <c r="BG121" s="537">
        <f t="shared" si="49"/>
        <v>0</v>
      </c>
      <c r="BH121" s="537">
        <f t="shared" si="49"/>
        <v>0</v>
      </c>
      <c r="BI121" s="537">
        <f t="shared" si="49"/>
        <v>0</v>
      </c>
      <c r="BJ121" s="537">
        <f t="shared" si="49"/>
        <v>0</v>
      </c>
      <c r="BK121" s="537">
        <f t="shared" si="49"/>
        <v>0</v>
      </c>
      <c r="BL121" s="537">
        <f t="shared" si="49"/>
        <v>0</v>
      </c>
      <c r="BM121" s="537">
        <f t="shared" si="49"/>
        <v>0</v>
      </c>
      <c r="BN121" s="537">
        <f t="shared" si="49"/>
        <v>0</v>
      </c>
      <c r="BO121" s="537">
        <f t="shared" si="49"/>
        <v>0</v>
      </c>
      <c r="BP121" s="537">
        <f t="shared" si="49"/>
        <v>0</v>
      </c>
      <c r="BQ121" s="537">
        <f t="shared" si="49"/>
        <v>0</v>
      </c>
      <c r="BR121" s="537">
        <f t="shared" si="49"/>
        <v>0</v>
      </c>
      <c r="BS121" s="537">
        <f t="shared" si="49"/>
        <v>0</v>
      </c>
      <c r="BT121" s="537">
        <f t="shared" si="49"/>
        <v>0</v>
      </c>
      <c r="BU121" s="537">
        <f t="shared" si="49"/>
        <v>0</v>
      </c>
      <c r="BV121" s="537">
        <f t="shared" si="49"/>
        <v>0</v>
      </c>
      <c r="BW121" s="537">
        <f t="shared" si="49"/>
        <v>0</v>
      </c>
      <c r="BX121" s="537">
        <f t="shared" si="49"/>
        <v>0</v>
      </c>
      <c r="BY121" s="537">
        <f t="shared" si="49"/>
        <v>0</v>
      </c>
      <c r="BZ121" s="537">
        <f t="shared" si="49"/>
        <v>0</v>
      </c>
      <c r="CA121" s="537">
        <f t="shared" si="49"/>
        <v>0</v>
      </c>
      <c r="CB121" s="537">
        <f t="shared" si="49"/>
        <v>0</v>
      </c>
      <c r="CC121" s="537">
        <f t="shared" si="49"/>
        <v>0</v>
      </c>
      <c r="CD121" s="537">
        <f t="shared" si="49"/>
        <v>0</v>
      </c>
      <c r="CE121" s="537">
        <f t="shared" si="49"/>
        <v>0</v>
      </c>
      <c r="CF121" s="537">
        <f t="shared" si="49"/>
        <v>0</v>
      </c>
      <c r="CG121" s="537">
        <f t="shared" si="49"/>
        <v>0</v>
      </c>
      <c r="CH121" s="537">
        <f t="shared" si="49"/>
        <v>0</v>
      </c>
      <c r="CI121" s="537">
        <f t="shared" si="49"/>
        <v>0</v>
      </c>
      <c r="CJ121" s="537">
        <f t="shared" si="49"/>
        <v>0</v>
      </c>
      <c r="CK121" s="537">
        <f t="shared" si="49"/>
        <v>0</v>
      </c>
      <c r="CL121" s="537">
        <f t="shared" si="49"/>
        <v>0</v>
      </c>
      <c r="CM121" s="537">
        <f t="shared" si="49"/>
        <v>0</v>
      </c>
      <c r="CN121" s="537">
        <f t="shared" si="49"/>
        <v>0</v>
      </c>
      <c r="CO121" s="537">
        <f t="shared" si="49"/>
        <v>0</v>
      </c>
      <c r="CP121" s="537">
        <f t="shared" si="49"/>
        <v>0</v>
      </c>
      <c r="CQ121" s="537">
        <f t="shared" si="49"/>
        <v>0</v>
      </c>
      <c r="CR121" s="537">
        <f t="shared" si="49"/>
        <v>0</v>
      </c>
      <c r="CS121" s="537">
        <f t="shared" si="49"/>
        <v>0</v>
      </c>
      <c r="CT121" s="537">
        <f t="shared" si="49"/>
        <v>0</v>
      </c>
      <c r="CU121" s="537">
        <f t="shared" si="49"/>
        <v>0</v>
      </c>
      <c r="CV121" s="537">
        <f t="shared" si="49"/>
        <v>0</v>
      </c>
      <c r="CW121" s="537">
        <f t="shared" si="49"/>
        <v>0</v>
      </c>
      <c r="CX121" s="537">
        <f t="shared" si="49"/>
        <v>0</v>
      </c>
      <c r="CY121" s="537">
        <f t="shared" si="49"/>
        <v>0</v>
      </c>
      <c r="CZ121" s="537">
        <f t="shared" si="49"/>
        <v>0</v>
      </c>
      <c r="DA121" s="537">
        <f t="shared" si="49"/>
        <v>0</v>
      </c>
      <c r="DB121" s="537">
        <f t="shared" si="49"/>
        <v>0</v>
      </c>
      <c r="DC121" s="537">
        <f t="shared" si="49"/>
        <v>0</v>
      </c>
      <c r="DD121" s="537">
        <f t="shared" si="49"/>
        <v>0</v>
      </c>
      <c r="DE121" s="537">
        <f t="shared" si="49"/>
        <v>0</v>
      </c>
      <c r="DF121" s="537">
        <f t="shared" si="49"/>
        <v>0</v>
      </c>
      <c r="DG121" s="537">
        <f t="shared" si="49"/>
        <v>0</v>
      </c>
      <c r="DH121" s="537">
        <f t="shared" si="49"/>
        <v>0</v>
      </c>
      <c r="DI121" s="537">
        <f t="shared" si="49"/>
        <v>0</v>
      </c>
      <c r="DJ121" s="537">
        <f t="shared" si="49"/>
        <v>0</v>
      </c>
      <c r="DK121" s="537">
        <f t="shared" si="49"/>
        <v>0</v>
      </c>
      <c r="DL121" s="537">
        <f t="shared" si="49"/>
        <v>0</v>
      </c>
      <c r="DM121" s="537">
        <f t="shared" si="49"/>
        <v>0</v>
      </c>
      <c r="DN121" s="537">
        <f t="shared" si="49"/>
        <v>0</v>
      </c>
      <c r="DO121" s="537">
        <f t="shared" si="49"/>
        <v>0</v>
      </c>
      <c r="DP121" s="537">
        <f t="shared" si="49"/>
        <v>0</v>
      </c>
      <c r="DQ121" s="537">
        <f t="shared" si="49"/>
        <v>0</v>
      </c>
      <c r="DR121" s="537">
        <f t="shared" si="49"/>
        <v>0</v>
      </c>
      <c r="DS121" s="537">
        <f t="shared" si="49"/>
        <v>0</v>
      </c>
      <c r="DT121" s="537">
        <f t="shared" si="49"/>
        <v>0</v>
      </c>
      <c r="DU121" s="537">
        <f t="shared" si="49"/>
        <v>0</v>
      </c>
      <c r="DV121" s="537">
        <f t="shared" si="49"/>
        <v>0</v>
      </c>
      <c r="DW121" s="537">
        <f t="shared" si="49"/>
        <v>0</v>
      </c>
      <c r="DX121" s="537">
        <f t="shared" si="49"/>
        <v>0</v>
      </c>
      <c r="DY121" s="537">
        <f t="shared" si="49"/>
        <v>0</v>
      </c>
      <c r="DZ121" s="537">
        <f t="shared" si="49"/>
        <v>0</v>
      </c>
      <c r="EA121" s="537">
        <f t="shared" si="49"/>
        <v>0</v>
      </c>
      <c r="EB121" s="537">
        <f t="shared" si="49"/>
        <v>0</v>
      </c>
      <c r="EC121" s="537">
        <f t="shared" si="49"/>
        <v>0</v>
      </c>
      <c r="ED121" s="537">
        <f t="shared" si="49"/>
        <v>0</v>
      </c>
      <c r="EE121" s="537">
        <f t="shared" si="49"/>
        <v>0</v>
      </c>
      <c r="EF121" s="537">
        <f t="shared" si="49"/>
        <v>0</v>
      </c>
      <c r="EG121" s="537">
        <f t="shared" si="49"/>
        <v>0</v>
      </c>
      <c r="EH121" s="537">
        <f t="shared" si="49"/>
        <v>0</v>
      </c>
      <c r="EI121" s="537">
        <f t="shared" si="49"/>
        <v>0</v>
      </c>
      <c r="EJ121" s="537">
        <f t="shared" si="49"/>
        <v>0</v>
      </c>
      <c r="EK121" s="537">
        <f t="shared" si="49"/>
        <v>0</v>
      </c>
      <c r="EL121" s="537">
        <f t="shared" si="49"/>
        <v>0</v>
      </c>
      <c r="EM121" s="537">
        <f t="shared" si="49"/>
        <v>0</v>
      </c>
      <c r="EN121" s="537">
        <f t="shared" si="49"/>
        <v>0</v>
      </c>
      <c r="EO121" s="537">
        <f t="shared" si="49"/>
        <v>0</v>
      </c>
      <c r="EP121" s="537">
        <f t="shared" si="49"/>
        <v>0</v>
      </c>
      <c r="EQ121" s="537">
        <f t="shared" si="49"/>
        <v>0</v>
      </c>
      <c r="ER121" s="537">
        <f t="shared" si="49"/>
        <v>0</v>
      </c>
      <c r="ES121" s="537">
        <f t="shared" si="49"/>
        <v>0</v>
      </c>
      <c r="ET121" s="537">
        <f t="shared" si="49"/>
        <v>0</v>
      </c>
      <c r="EU121" s="537">
        <f t="shared" si="49"/>
        <v>0</v>
      </c>
      <c r="EV121" s="537">
        <f t="shared" si="49"/>
        <v>0</v>
      </c>
      <c r="EW121" s="537">
        <f t="shared" si="49"/>
        <v>0</v>
      </c>
      <c r="EX121" s="537">
        <f t="shared" si="49"/>
        <v>0</v>
      </c>
      <c r="EY121" s="537">
        <f t="shared" si="49"/>
        <v>0</v>
      </c>
      <c r="EZ121" s="537">
        <f t="shared" si="49"/>
        <v>0</v>
      </c>
      <c r="FA121" s="537">
        <f t="shared" si="49"/>
        <v>0</v>
      </c>
      <c r="FB121" s="537">
        <f t="shared" si="49"/>
        <v>0</v>
      </c>
      <c r="FC121" s="537">
        <f t="shared" si="49"/>
        <v>0</v>
      </c>
      <c r="FD121" s="537">
        <f t="shared" si="49"/>
        <v>0</v>
      </c>
      <c r="FE121" s="537">
        <f t="shared" si="49"/>
        <v>0</v>
      </c>
      <c r="FF121" s="537">
        <f t="shared" si="49"/>
        <v>0</v>
      </c>
      <c r="FG121" s="537">
        <f t="shared" si="49"/>
        <v>0</v>
      </c>
      <c r="FH121" s="537">
        <f t="shared" si="49"/>
        <v>0</v>
      </c>
      <c r="FI121" s="537">
        <f t="shared" si="49"/>
        <v>0</v>
      </c>
      <c r="FJ121" s="537">
        <f t="shared" si="49"/>
        <v>0</v>
      </c>
      <c r="FK121" s="537">
        <f t="shared" si="49"/>
        <v>0</v>
      </c>
      <c r="FL121" s="537">
        <f t="shared" si="49"/>
        <v>0</v>
      </c>
      <c r="FM121" s="537">
        <f t="shared" si="49"/>
        <v>0</v>
      </c>
      <c r="FN121" s="537">
        <f t="shared" si="49"/>
        <v>0</v>
      </c>
      <c r="FO121" s="537">
        <f t="shared" si="49"/>
        <v>0</v>
      </c>
      <c r="FP121" s="537">
        <f t="shared" si="49"/>
        <v>0</v>
      </c>
      <c r="FQ121" s="537">
        <f t="shared" si="49"/>
        <v>0</v>
      </c>
      <c r="FR121" s="537">
        <f t="shared" si="49"/>
        <v>0</v>
      </c>
      <c r="FS121" s="537">
        <f t="shared" si="49"/>
        <v>0</v>
      </c>
      <c r="FT121" s="537">
        <f t="shared" si="49"/>
        <v>0</v>
      </c>
      <c r="FU121" s="537">
        <f t="shared" si="49"/>
        <v>0</v>
      </c>
      <c r="FV121" s="537">
        <f t="shared" si="49"/>
        <v>0</v>
      </c>
      <c r="FW121" s="537">
        <f t="shared" si="49"/>
        <v>0</v>
      </c>
      <c r="FX121" s="537">
        <f t="shared" si="49"/>
        <v>0</v>
      </c>
      <c r="FY121" s="537">
        <f t="shared" si="49"/>
        <v>0</v>
      </c>
      <c r="FZ121" s="537">
        <f t="shared" si="49"/>
        <v>0</v>
      </c>
      <c r="GA121" s="537">
        <f t="shared" si="49"/>
        <v>0</v>
      </c>
      <c r="GB121" s="537">
        <f t="shared" si="49"/>
        <v>0</v>
      </c>
      <c r="GC121" s="537">
        <f t="shared" si="49"/>
        <v>0</v>
      </c>
      <c r="GD121" s="537">
        <f t="shared" si="49"/>
        <v>0</v>
      </c>
      <c r="GE121" s="537">
        <f t="shared" si="49"/>
        <v>0</v>
      </c>
      <c r="GF121" s="537">
        <f t="shared" si="49"/>
        <v>0</v>
      </c>
      <c r="GG121" s="537">
        <f t="shared" si="49"/>
        <v>0</v>
      </c>
      <c r="GH121" s="537">
        <f t="shared" si="49"/>
        <v>0</v>
      </c>
      <c r="GI121" s="537">
        <f t="shared" si="49"/>
        <v>0</v>
      </c>
      <c r="GJ121" s="537">
        <f t="shared" si="49"/>
        <v>0</v>
      </c>
    </row>
    <row r="122" spans="5:192" ht="12.75">
      <c r="E122" s="535" t="str">
        <f>E$62</f>
        <v>First construction period flag</v>
      </c>
      <c r="G122" s="537" t="str">
        <f>G$62</f>
        <v>flag</v>
      </c>
      <c r="H122" s="537">
        <f>H$62</f>
        <v>1</v>
      </c>
      <c r="J122" s="537">
        <f t="shared" si="50" ref="J122:GJ122">J$62</f>
        <v>0</v>
      </c>
      <c r="K122" s="537">
        <f t="shared" si="50"/>
        <v>0</v>
      </c>
      <c r="L122" s="537">
        <f t="shared" si="50"/>
        <v>0</v>
      </c>
      <c r="M122" s="537">
        <f t="shared" si="50"/>
        <v>0</v>
      </c>
      <c r="N122" s="537">
        <f t="shared" si="50"/>
        <v>0</v>
      </c>
      <c r="O122" s="537">
        <f t="shared" si="50"/>
        <v>0</v>
      </c>
      <c r="P122" s="537">
        <f t="shared" si="50"/>
        <v>1</v>
      </c>
      <c r="Q122" s="537">
        <f t="shared" si="50"/>
        <v>0</v>
      </c>
      <c r="R122" s="537">
        <f t="shared" si="50"/>
        <v>0</v>
      </c>
      <c r="S122" s="537">
        <f t="shared" si="50"/>
        <v>0</v>
      </c>
      <c r="T122" s="537">
        <f t="shared" si="50"/>
        <v>0</v>
      </c>
      <c r="U122" s="537">
        <f t="shared" si="50"/>
        <v>0</v>
      </c>
      <c r="V122" s="537">
        <f t="shared" si="50"/>
        <v>0</v>
      </c>
      <c r="W122" s="537">
        <f t="shared" si="50"/>
        <v>0</v>
      </c>
      <c r="X122" s="537">
        <f t="shared" si="50"/>
        <v>0</v>
      </c>
      <c r="Y122" s="537">
        <f t="shared" si="50"/>
        <v>0</v>
      </c>
      <c r="Z122" s="537">
        <f t="shared" si="50"/>
        <v>0</v>
      </c>
      <c r="AA122" s="537">
        <f t="shared" si="50"/>
        <v>0</v>
      </c>
      <c r="AB122" s="537">
        <f t="shared" si="50"/>
        <v>0</v>
      </c>
      <c r="AC122" s="537">
        <f t="shared" si="50"/>
        <v>0</v>
      </c>
      <c r="AD122" s="537">
        <f t="shared" si="50"/>
        <v>0</v>
      </c>
      <c r="AE122" s="537">
        <f t="shared" si="50"/>
        <v>0</v>
      </c>
      <c r="AF122" s="537">
        <f t="shared" si="50"/>
        <v>0</v>
      </c>
      <c r="AG122" s="537">
        <f t="shared" si="50"/>
        <v>0</v>
      </c>
      <c r="AH122" s="537">
        <f t="shared" si="50"/>
        <v>0</v>
      </c>
      <c r="AI122" s="537">
        <f t="shared" si="50"/>
        <v>0</v>
      </c>
      <c r="AJ122" s="537">
        <f t="shared" si="50"/>
        <v>0</v>
      </c>
      <c r="AK122" s="537">
        <f t="shared" si="50"/>
        <v>0</v>
      </c>
      <c r="AL122" s="537">
        <f t="shared" si="50"/>
        <v>0</v>
      </c>
      <c r="AM122" s="537">
        <f t="shared" si="50"/>
        <v>0</v>
      </c>
      <c r="AN122" s="537">
        <f t="shared" si="50"/>
        <v>0</v>
      </c>
      <c r="AO122" s="537">
        <f t="shared" si="50"/>
        <v>0</v>
      </c>
      <c r="AP122" s="537">
        <f t="shared" si="50"/>
        <v>0</v>
      </c>
      <c r="AQ122" s="537">
        <f t="shared" si="50"/>
        <v>0</v>
      </c>
      <c r="AR122" s="537">
        <f t="shared" si="50"/>
        <v>0</v>
      </c>
      <c r="AS122" s="537">
        <f t="shared" si="50"/>
        <v>0</v>
      </c>
      <c r="AT122" s="537">
        <f t="shared" si="50"/>
        <v>0</v>
      </c>
      <c r="AU122" s="537">
        <f t="shared" si="50"/>
        <v>0</v>
      </c>
      <c r="AV122" s="537">
        <f t="shared" si="50"/>
        <v>0</v>
      </c>
      <c r="AW122" s="537">
        <f t="shared" si="50"/>
        <v>0</v>
      </c>
      <c r="AX122" s="537">
        <f t="shared" si="50"/>
        <v>0</v>
      </c>
      <c r="AY122" s="537">
        <f t="shared" si="50"/>
        <v>0</v>
      </c>
      <c r="AZ122" s="537">
        <f t="shared" si="50"/>
        <v>0</v>
      </c>
      <c r="BA122" s="537">
        <f t="shared" si="50"/>
        <v>0</v>
      </c>
      <c r="BB122" s="537">
        <f t="shared" si="50"/>
        <v>0</v>
      </c>
      <c r="BC122" s="537">
        <f t="shared" si="50"/>
        <v>0</v>
      </c>
      <c r="BD122" s="537">
        <f t="shared" si="50"/>
        <v>0</v>
      </c>
      <c r="BE122" s="537">
        <f t="shared" si="50"/>
        <v>0</v>
      </c>
      <c r="BF122" s="537">
        <f t="shared" si="50"/>
        <v>0</v>
      </c>
      <c r="BG122" s="537">
        <f t="shared" si="50"/>
        <v>0</v>
      </c>
      <c r="BH122" s="537">
        <f t="shared" si="50"/>
        <v>0</v>
      </c>
      <c r="BI122" s="537">
        <f t="shared" si="50"/>
        <v>0</v>
      </c>
      <c r="BJ122" s="537">
        <f t="shared" si="50"/>
        <v>0</v>
      </c>
      <c r="BK122" s="537">
        <f t="shared" si="50"/>
        <v>0</v>
      </c>
      <c r="BL122" s="537">
        <f t="shared" si="50"/>
        <v>0</v>
      </c>
      <c r="BM122" s="537">
        <f t="shared" si="50"/>
        <v>0</v>
      </c>
      <c r="BN122" s="537">
        <f t="shared" si="50"/>
        <v>0</v>
      </c>
      <c r="BO122" s="537">
        <f t="shared" si="50"/>
        <v>0</v>
      </c>
      <c r="BP122" s="537">
        <f t="shared" si="50"/>
        <v>0</v>
      </c>
      <c r="BQ122" s="537">
        <f t="shared" si="50"/>
        <v>0</v>
      </c>
      <c r="BR122" s="537">
        <f t="shared" si="50"/>
        <v>0</v>
      </c>
      <c r="BS122" s="537">
        <f t="shared" si="50"/>
        <v>0</v>
      </c>
      <c r="BT122" s="537">
        <f t="shared" si="50"/>
        <v>0</v>
      </c>
      <c r="BU122" s="537">
        <f t="shared" si="50"/>
        <v>0</v>
      </c>
      <c r="BV122" s="537">
        <f t="shared" si="50"/>
        <v>0</v>
      </c>
      <c r="BW122" s="537">
        <f t="shared" si="50"/>
        <v>0</v>
      </c>
      <c r="BX122" s="537">
        <f t="shared" si="50"/>
        <v>0</v>
      </c>
      <c r="BY122" s="537">
        <f t="shared" si="50"/>
        <v>0</v>
      </c>
      <c r="BZ122" s="537">
        <f t="shared" si="50"/>
        <v>0</v>
      </c>
      <c r="CA122" s="537">
        <f t="shared" si="50"/>
        <v>0</v>
      </c>
      <c r="CB122" s="537">
        <f t="shared" si="50"/>
        <v>0</v>
      </c>
      <c r="CC122" s="537">
        <f t="shared" si="50"/>
        <v>0</v>
      </c>
      <c r="CD122" s="537">
        <f t="shared" si="50"/>
        <v>0</v>
      </c>
      <c r="CE122" s="537">
        <f t="shared" si="50"/>
        <v>0</v>
      </c>
      <c r="CF122" s="537">
        <f t="shared" si="50"/>
        <v>0</v>
      </c>
      <c r="CG122" s="537">
        <f t="shared" si="50"/>
        <v>0</v>
      </c>
      <c r="CH122" s="537">
        <f t="shared" si="50"/>
        <v>0</v>
      </c>
      <c r="CI122" s="537">
        <f t="shared" si="50"/>
        <v>0</v>
      </c>
      <c r="CJ122" s="537">
        <f t="shared" si="50"/>
        <v>0</v>
      </c>
      <c r="CK122" s="537">
        <f t="shared" si="50"/>
        <v>0</v>
      </c>
      <c r="CL122" s="537">
        <f t="shared" si="50"/>
        <v>0</v>
      </c>
      <c r="CM122" s="537">
        <f t="shared" si="50"/>
        <v>0</v>
      </c>
      <c r="CN122" s="537">
        <f t="shared" si="50"/>
        <v>0</v>
      </c>
      <c r="CO122" s="537">
        <f t="shared" si="50"/>
        <v>0</v>
      </c>
      <c r="CP122" s="537">
        <f t="shared" si="50"/>
        <v>0</v>
      </c>
      <c r="CQ122" s="537">
        <f t="shared" si="50"/>
        <v>0</v>
      </c>
      <c r="CR122" s="537">
        <f t="shared" si="50"/>
        <v>0</v>
      </c>
      <c r="CS122" s="537">
        <f t="shared" si="50"/>
        <v>0</v>
      </c>
      <c r="CT122" s="537">
        <f t="shared" si="50"/>
        <v>0</v>
      </c>
      <c r="CU122" s="537">
        <f t="shared" si="50"/>
        <v>0</v>
      </c>
      <c r="CV122" s="537">
        <f t="shared" si="50"/>
        <v>0</v>
      </c>
      <c r="CW122" s="537">
        <f t="shared" si="50"/>
        <v>0</v>
      </c>
      <c r="CX122" s="537">
        <f t="shared" si="50"/>
        <v>0</v>
      </c>
      <c r="CY122" s="537">
        <f t="shared" si="50"/>
        <v>0</v>
      </c>
      <c r="CZ122" s="537">
        <f t="shared" si="50"/>
        <v>0</v>
      </c>
      <c r="DA122" s="537">
        <f t="shared" si="50"/>
        <v>0</v>
      </c>
      <c r="DB122" s="537">
        <f t="shared" si="50"/>
        <v>0</v>
      </c>
      <c r="DC122" s="537">
        <f t="shared" si="50"/>
        <v>0</v>
      </c>
      <c r="DD122" s="537">
        <f t="shared" si="50"/>
        <v>0</v>
      </c>
      <c r="DE122" s="537">
        <f t="shared" si="50"/>
        <v>0</v>
      </c>
      <c r="DF122" s="537">
        <f t="shared" si="50"/>
        <v>0</v>
      </c>
      <c r="DG122" s="537">
        <f t="shared" si="50"/>
        <v>0</v>
      </c>
      <c r="DH122" s="537">
        <f t="shared" si="50"/>
        <v>0</v>
      </c>
      <c r="DI122" s="537">
        <f t="shared" si="50"/>
        <v>0</v>
      </c>
      <c r="DJ122" s="537">
        <f t="shared" si="50"/>
        <v>0</v>
      </c>
      <c r="DK122" s="537">
        <f t="shared" si="50"/>
        <v>0</v>
      </c>
      <c r="DL122" s="537">
        <f t="shared" si="50"/>
        <v>0</v>
      </c>
      <c r="DM122" s="537">
        <f t="shared" si="50"/>
        <v>0</v>
      </c>
      <c r="DN122" s="537">
        <f t="shared" si="50"/>
        <v>0</v>
      </c>
      <c r="DO122" s="537">
        <f t="shared" si="50"/>
        <v>0</v>
      </c>
      <c r="DP122" s="537">
        <f t="shared" si="50"/>
        <v>0</v>
      </c>
      <c r="DQ122" s="537">
        <f t="shared" si="50"/>
        <v>0</v>
      </c>
      <c r="DR122" s="537">
        <f t="shared" si="50"/>
        <v>0</v>
      </c>
      <c r="DS122" s="537">
        <f t="shared" si="50"/>
        <v>0</v>
      </c>
      <c r="DT122" s="537">
        <f t="shared" si="50"/>
        <v>0</v>
      </c>
      <c r="DU122" s="537">
        <f t="shared" si="50"/>
        <v>0</v>
      </c>
      <c r="DV122" s="537">
        <f t="shared" si="50"/>
        <v>0</v>
      </c>
      <c r="DW122" s="537">
        <f t="shared" si="50"/>
        <v>0</v>
      </c>
      <c r="DX122" s="537">
        <f t="shared" si="50"/>
        <v>0</v>
      </c>
      <c r="DY122" s="537">
        <f t="shared" si="50"/>
        <v>0</v>
      </c>
      <c r="DZ122" s="537">
        <f t="shared" si="50"/>
        <v>0</v>
      </c>
      <c r="EA122" s="537">
        <f t="shared" si="50"/>
        <v>0</v>
      </c>
      <c r="EB122" s="537">
        <f t="shared" si="50"/>
        <v>0</v>
      </c>
      <c r="EC122" s="537">
        <f t="shared" si="50"/>
        <v>0</v>
      </c>
      <c r="ED122" s="537">
        <f t="shared" si="50"/>
        <v>0</v>
      </c>
      <c r="EE122" s="537">
        <f t="shared" si="50"/>
        <v>0</v>
      </c>
      <c r="EF122" s="537">
        <f t="shared" si="50"/>
        <v>0</v>
      </c>
      <c r="EG122" s="537">
        <f t="shared" si="50"/>
        <v>0</v>
      </c>
      <c r="EH122" s="537">
        <f t="shared" si="50"/>
        <v>0</v>
      </c>
      <c r="EI122" s="537">
        <f t="shared" si="50"/>
        <v>0</v>
      </c>
      <c r="EJ122" s="537">
        <f t="shared" si="50"/>
        <v>0</v>
      </c>
      <c r="EK122" s="537">
        <f t="shared" si="50"/>
        <v>0</v>
      </c>
      <c r="EL122" s="537">
        <f t="shared" si="50"/>
        <v>0</v>
      </c>
      <c r="EM122" s="537">
        <f t="shared" si="50"/>
        <v>0</v>
      </c>
      <c r="EN122" s="537">
        <f t="shared" si="50"/>
        <v>0</v>
      </c>
      <c r="EO122" s="537">
        <f t="shared" si="50"/>
        <v>0</v>
      </c>
      <c r="EP122" s="537">
        <f t="shared" si="50"/>
        <v>0</v>
      </c>
      <c r="EQ122" s="537">
        <f t="shared" si="50"/>
        <v>0</v>
      </c>
      <c r="ER122" s="537">
        <f t="shared" si="50"/>
        <v>0</v>
      </c>
      <c r="ES122" s="537">
        <f t="shared" si="50"/>
        <v>0</v>
      </c>
      <c r="ET122" s="537">
        <f t="shared" si="50"/>
        <v>0</v>
      </c>
      <c r="EU122" s="537">
        <f t="shared" si="50"/>
        <v>0</v>
      </c>
      <c r="EV122" s="537">
        <f t="shared" si="50"/>
        <v>0</v>
      </c>
      <c r="EW122" s="537">
        <f t="shared" si="50"/>
        <v>0</v>
      </c>
      <c r="EX122" s="537">
        <f t="shared" si="50"/>
        <v>0</v>
      </c>
      <c r="EY122" s="537">
        <f t="shared" si="50"/>
        <v>0</v>
      </c>
      <c r="EZ122" s="537">
        <f t="shared" si="50"/>
        <v>0</v>
      </c>
      <c r="FA122" s="537">
        <f t="shared" si="50"/>
        <v>0</v>
      </c>
      <c r="FB122" s="537">
        <f t="shared" si="50"/>
        <v>0</v>
      </c>
      <c r="FC122" s="537">
        <f t="shared" si="50"/>
        <v>0</v>
      </c>
      <c r="FD122" s="537">
        <f t="shared" si="50"/>
        <v>0</v>
      </c>
      <c r="FE122" s="537">
        <f t="shared" si="50"/>
        <v>0</v>
      </c>
      <c r="FF122" s="537">
        <f t="shared" si="50"/>
        <v>0</v>
      </c>
      <c r="FG122" s="537">
        <f t="shared" si="50"/>
        <v>0</v>
      </c>
      <c r="FH122" s="537">
        <f t="shared" si="50"/>
        <v>0</v>
      </c>
      <c r="FI122" s="537">
        <f t="shared" si="50"/>
        <v>0</v>
      </c>
      <c r="FJ122" s="537">
        <f t="shared" si="50"/>
        <v>0</v>
      </c>
      <c r="FK122" s="537">
        <f t="shared" si="50"/>
        <v>0</v>
      </c>
      <c r="FL122" s="537">
        <f t="shared" si="50"/>
        <v>0</v>
      </c>
      <c r="FM122" s="537">
        <f t="shared" si="50"/>
        <v>0</v>
      </c>
      <c r="FN122" s="537">
        <f t="shared" si="50"/>
        <v>0</v>
      </c>
      <c r="FO122" s="537">
        <f t="shared" si="50"/>
        <v>0</v>
      </c>
      <c r="FP122" s="537">
        <f t="shared" si="50"/>
        <v>0</v>
      </c>
      <c r="FQ122" s="537">
        <f t="shared" si="50"/>
        <v>0</v>
      </c>
      <c r="FR122" s="537">
        <f t="shared" si="50"/>
        <v>0</v>
      </c>
      <c r="FS122" s="537">
        <f t="shared" si="50"/>
        <v>0</v>
      </c>
      <c r="FT122" s="537">
        <f t="shared" si="50"/>
        <v>0</v>
      </c>
      <c r="FU122" s="537">
        <f t="shared" si="50"/>
        <v>0</v>
      </c>
      <c r="FV122" s="537">
        <f t="shared" si="50"/>
        <v>0</v>
      </c>
      <c r="FW122" s="537">
        <f t="shared" si="50"/>
        <v>0</v>
      </c>
      <c r="FX122" s="537">
        <f t="shared" si="50"/>
        <v>0</v>
      </c>
      <c r="FY122" s="537">
        <f t="shared" si="50"/>
        <v>0</v>
      </c>
      <c r="FZ122" s="537">
        <f t="shared" si="50"/>
        <v>0</v>
      </c>
      <c r="GA122" s="537">
        <f t="shared" si="50"/>
        <v>0</v>
      </c>
      <c r="GB122" s="537">
        <f t="shared" si="50"/>
        <v>0</v>
      </c>
      <c r="GC122" s="537">
        <f t="shared" si="50"/>
        <v>0</v>
      </c>
      <c r="GD122" s="537">
        <f t="shared" si="50"/>
        <v>0</v>
      </c>
      <c r="GE122" s="537">
        <f t="shared" si="50"/>
        <v>0</v>
      </c>
      <c r="GF122" s="537">
        <f t="shared" si="50"/>
        <v>0</v>
      </c>
      <c r="GG122" s="537">
        <f t="shared" si="50"/>
        <v>0</v>
      </c>
      <c r="GH122" s="537">
        <f t="shared" si="50"/>
        <v>0</v>
      </c>
      <c r="GI122" s="537">
        <f t="shared" si="50"/>
        <v>0</v>
      </c>
      <c r="GJ122" s="537">
        <f t="shared" si="50"/>
        <v>0</v>
      </c>
    </row>
    <row r="123" spans="5:192" ht="12.75">
      <c r="E123" s="535" t="str">
        <f>E$76</f>
        <v>First operating period flag</v>
      </c>
      <c r="G123" s="537" t="str">
        <f>G$76</f>
        <v>flag</v>
      </c>
      <c r="H123" s="537">
        <f>H$76</f>
        <v>1</v>
      </c>
      <c r="J123" s="537">
        <f t="shared" si="51" ref="J123:GJ123">J$76</f>
        <v>0</v>
      </c>
      <c r="K123" s="537">
        <f t="shared" si="51"/>
        <v>0</v>
      </c>
      <c r="L123" s="537">
        <f t="shared" si="51"/>
        <v>0</v>
      </c>
      <c r="M123" s="537">
        <f t="shared" si="51"/>
        <v>0</v>
      </c>
      <c r="N123" s="537">
        <f t="shared" si="51"/>
        <v>0</v>
      </c>
      <c r="O123" s="537">
        <f t="shared" si="51"/>
        <v>0</v>
      </c>
      <c r="P123" s="537">
        <f t="shared" si="51"/>
        <v>0</v>
      </c>
      <c r="Q123" s="537">
        <f t="shared" si="51"/>
        <v>0</v>
      </c>
      <c r="R123" s="537">
        <f t="shared" si="51"/>
        <v>0</v>
      </c>
      <c r="S123" s="537">
        <f t="shared" si="51"/>
        <v>0</v>
      </c>
      <c r="T123" s="537">
        <f t="shared" si="51"/>
        <v>0</v>
      </c>
      <c r="U123" s="537">
        <f t="shared" si="51"/>
        <v>0</v>
      </c>
      <c r="V123" s="537">
        <f t="shared" si="51"/>
        <v>0</v>
      </c>
      <c r="W123" s="537">
        <f t="shared" si="51"/>
        <v>0</v>
      </c>
      <c r="X123" s="537">
        <f t="shared" si="51"/>
        <v>0</v>
      </c>
      <c r="Y123" s="537">
        <f t="shared" si="51"/>
        <v>0</v>
      </c>
      <c r="Z123" s="537">
        <f t="shared" si="51"/>
        <v>0</v>
      </c>
      <c r="AA123" s="537">
        <f t="shared" si="51"/>
        <v>0</v>
      </c>
      <c r="AB123" s="537">
        <f t="shared" si="51"/>
        <v>0</v>
      </c>
      <c r="AC123" s="537">
        <f t="shared" si="51"/>
        <v>0</v>
      </c>
      <c r="AD123" s="537">
        <f t="shared" si="51"/>
        <v>0</v>
      </c>
      <c r="AE123" s="537">
        <f t="shared" si="51"/>
        <v>0</v>
      </c>
      <c r="AF123" s="537">
        <f t="shared" si="51"/>
        <v>0</v>
      </c>
      <c r="AG123" s="537">
        <f t="shared" si="51"/>
        <v>0</v>
      </c>
      <c r="AH123" s="537">
        <f t="shared" si="51"/>
        <v>0</v>
      </c>
      <c r="AI123" s="537">
        <f t="shared" si="51"/>
        <v>0</v>
      </c>
      <c r="AJ123" s="537">
        <f t="shared" si="51"/>
        <v>0</v>
      </c>
      <c r="AK123" s="537">
        <f t="shared" si="51"/>
        <v>0</v>
      </c>
      <c r="AL123" s="537">
        <f t="shared" si="51"/>
        <v>0</v>
      </c>
      <c r="AM123" s="537">
        <f t="shared" si="51"/>
        <v>0</v>
      </c>
      <c r="AN123" s="537">
        <f t="shared" si="51"/>
        <v>1</v>
      </c>
      <c r="AO123" s="537">
        <f t="shared" si="51"/>
        <v>0</v>
      </c>
      <c r="AP123" s="537">
        <f t="shared" si="51"/>
        <v>0</v>
      </c>
      <c r="AQ123" s="537">
        <f t="shared" si="51"/>
        <v>0</v>
      </c>
      <c r="AR123" s="537">
        <f t="shared" si="51"/>
        <v>0</v>
      </c>
      <c r="AS123" s="537">
        <f t="shared" si="51"/>
        <v>0</v>
      </c>
      <c r="AT123" s="537">
        <f t="shared" si="51"/>
        <v>0</v>
      </c>
      <c r="AU123" s="537">
        <f t="shared" si="51"/>
        <v>0</v>
      </c>
      <c r="AV123" s="537">
        <f t="shared" si="51"/>
        <v>0</v>
      </c>
      <c r="AW123" s="537">
        <f t="shared" si="51"/>
        <v>0</v>
      </c>
      <c r="AX123" s="537">
        <f t="shared" si="51"/>
        <v>0</v>
      </c>
      <c r="AY123" s="537">
        <f t="shared" si="51"/>
        <v>0</v>
      </c>
      <c r="AZ123" s="537">
        <f t="shared" si="51"/>
        <v>0</v>
      </c>
      <c r="BA123" s="537">
        <f t="shared" si="51"/>
        <v>0</v>
      </c>
      <c r="BB123" s="537">
        <f t="shared" si="51"/>
        <v>0</v>
      </c>
      <c r="BC123" s="537">
        <f t="shared" si="51"/>
        <v>0</v>
      </c>
      <c r="BD123" s="537">
        <f t="shared" si="51"/>
        <v>0</v>
      </c>
      <c r="BE123" s="537">
        <f t="shared" si="51"/>
        <v>0</v>
      </c>
      <c r="BF123" s="537">
        <f t="shared" si="51"/>
        <v>0</v>
      </c>
      <c r="BG123" s="537">
        <f t="shared" si="51"/>
        <v>0</v>
      </c>
      <c r="BH123" s="537">
        <f t="shared" si="51"/>
        <v>0</v>
      </c>
      <c r="BI123" s="537">
        <f t="shared" si="51"/>
        <v>0</v>
      </c>
      <c r="BJ123" s="537">
        <f t="shared" si="51"/>
        <v>0</v>
      </c>
      <c r="BK123" s="537">
        <f t="shared" si="51"/>
        <v>0</v>
      </c>
      <c r="BL123" s="537">
        <f t="shared" si="51"/>
        <v>0</v>
      </c>
      <c r="BM123" s="537">
        <f t="shared" si="51"/>
        <v>0</v>
      </c>
      <c r="BN123" s="537">
        <f t="shared" si="51"/>
        <v>0</v>
      </c>
      <c r="BO123" s="537">
        <f t="shared" si="51"/>
        <v>0</v>
      </c>
      <c r="BP123" s="537">
        <f t="shared" si="51"/>
        <v>0</v>
      </c>
      <c r="BQ123" s="537">
        <f t="shared" si="51"/>
        <v>0</v>
      </c>
      <c r="BR123" s="537">
        <f t="shared" si="51"/>
        <v>0</v>
      </c>
      <c r="BS123" s="537">
        <f t="shared" si="51"/>
        <v>0</v>
      </c>
      <c r="BT123" s="537">
        <f t="shared" si="51"/>
        <v>0</v>
      </c>
      <c r="BU123" s="537">
        <f t="shared" si="51"/>
        <v>0</v>
      </c>
      <c r="BV123" s="537">
        <f t="shared" si="51"/>
        <v>0</v>
      </c>
      <c r="BW123" s="537">
        <f t="shared" si="51"/>
        <v>0</v>
      </c>
      <c r="BX123" s="537">
        <f t="shared" si="51"/>
        <v>0</v>
      </c>
      <c r="BY123" s="537">
        <f t="shared" si="51"/>
        <v>0</v>
      </c>
      <c r="BZ123" s="537">
        <f t="shared" si="51"/>
        <v>0</v>
      </c>
      <c r="CA123" s="537">
        <f t="shared" si="51"/>
        <v>0</v>
      </c>
      <c r="CB123" s="537">
        <f t="shared" si="51"/>
        <v>0</v>
      </c>
      <c r="CC123" s="537">
        <f t="shared" si="51"/>
        <v>0</v>
      </c>
      <c r="CD123" s="537">
        <f t="shared" si="51"/>
        <v>0</v>
      </c>
      <c r="CE123" s="537">
        <f t="shared" si="51"/>
        <v>0</v>
      </c>
      <c r="CF123" s="537">
        <f t="shared" si="51"/>
        <v>0</v>
      </c>
      <c r="CG123" s="537">
        <f t="shared" si="51"/>
        <v>0</v>
      </c>
      <c r="CH123" s="537">
        <f t="shared" si="51"/>
        <v>0</v>
      </c>
      <c r="CI123" s="537">
        <f t="shared" si="51"/>
        <v>0</v>
      </c>
      <c r="CJ123" s="537">
        <f t="shared" si="51"/>
        <v>0</v>
      </c>
      <c r="CK123" s="537">
        <f t="shared" si="51"/>
        <v>0</v>
      </c>
      <c r="CL123" s="537">
        <f t="shared" si="51"/>
        <v>0</v>
      </c>
      <c r="CM123" s="537">
        <f t="shared" si="51"/>
        <v>0</v>
      </c>
      <c r="CN123" s="537">
        <f t="shared" si="51"/>
        <v>0</v>
      </c>
      <c r="CO123" s="537">
        <f t="shared" si="51"/>
        <v>0</v>
      </c>
      <c r="CP123" s="537">
        <f t="shared" si="51"/>
        <v>0</v>
      </c>
      <c r="CQ123" s="537">
        <f t="shared" si="51"/>
        <v>0</v>
      </c>
      <c r="CR123" s="537">
        <f t="shared" si="51"/>
        <v>0</v>
      </c>
      <c r="CS123" s="537">
        <f t="shared" si="51"/>
        <v>0</v>
      </c>
      <c r="CT123" s="537">
        <f t="shared" si="51"/>
        <v>0</v>
      </c>
      <c r="CU123" s="537">
        <f t="shared" si="51"/>
        <v>0</v>
      </c>
      <c r="CV123" s="537">
        <f t="shared" si="51"/>
        <v>0</v>
      </c>
      <c r="CW123" s="537">
        <f t="shared" si="51"/>
        <v>0</v>
      </c>
      <c r="CX123" s="537">
        <f t="shared" si="51"/>
        <v>0</v>
      </c>
      <c r="CY123" s="537">
        <f t="shared" si="51"/>
        <v>0</v>
      </c>
      <c r="CZ123" s="537">
        <f t="shared" si="51"/>
        <v>0</v>
      </c>
      <c r="DA123" s="537">
        <f t="shared" si="51"/>
        <v>0</v>
      </c>
      <c r="DB123" s="537">
        <f t="shared" si="51"/>
        <v>0</v>
      </c>
      <c r="DC123" s="537">
        <f t="shared" si="51"/>
        <v>0</v>
      </c>
      <c r="DD123" s="537">
        <f t="shared" si="51"/>
        <v>0</v>
      </c>
      <c r="DE123" s="537">
        <f t="shared" si="51"/>
        <v>0</v>
      </c>
      <c r="DF123" s="537">
        <f t="shared" si="51"/>
        <v>0</v>
      </c>
      <c r="DG123" s="537">
        <f t="shared" si="51"/>
        <v>0</v>
      </c>
      <c r="DH123" s="537">
        <f t="shared" si="51"/>
        <v>0</v>
      </c>
      <c r="DI123" s="537">
        <f t="shared" si="51"/>
        <v>0</v>
      </c>
      <c r="DJ123" s="537">
        <f t="shared" si="51"/>
        <v>0</v>
      </c>
      <c r="DK123" s="537">
        <f t="shared" si="51"/>
        <v>0</v>
      </c>
      <c r="DL123" s="537">
        <f t="shared" si="51"/>
        <v>0</v>
      </c>
      <c r="DM123" s="537">
        <f t="shared" si="51"/>
        <v>0</v>
      </c>
      <c r="DN123" s="537">
        <f t="shared" si="51"/>
        <v>0</v>
      </c>
      <c r="DO123" s="537">
        <f t="shared" si="51"/>
        <v>0</v>
      </c>
      <c r="DP123" s="537">
        <f t="shared" si="51"/>
        <v>0</v>
      </c>
      <c r="DQ123" s="537">
        <f t="shared" si="51"/>
        <v>0</v>
      </c>
      <c r="DR123" s="537">
        <f t="shared" si="51"/>
        <v>0</v>
      </c>
      <c r="DS123" s="537">
        <f t="shared" si="51"/>
        <v>0</v>
      </c>
      <c r="DT123" s="537">
        <f t="shared" si="51"/>
        <v>0</v>
      </c>
      <c r="DU123" s="537">
        <f t="shared" si="51"/>
        <v>0</v>
      </c>
      <c r="DV123" s="537">
        <f t="shared" si="51"/>
        <v>0</v>
      </c>
      <c r="DW123" s="537">
        <f t="shared" si="51"/>
        <v>0</v>
      </c>
      <c r="DX123" s="537">
        <f t="shared" si="51"/>
        <v>0</v>
      </c>
      <c r="DY123" s="537">
        <f t="shared" si="51"/>
        <v>0</v>
      </c>
      <c r="DZ123" s="537">
        <f t="shared" si="51"/>
        <v>0</v>
      </c>
      <c r="EA123" s="537">
        <f t="shared" si="51"/>
        <v>0</v>
      </c>
      <c r="EB123" s="537">
        <f t="shared" si="51"/>
        <v>0</v>
      </c>
      <c r="EC123" s="537">
        <f t="shared" si="51"/>
        <v>0</v>
      </c>
      <c r="ED123" s="537">
        <f t="shared" si="51"/>
        <v>0</v>
      </c>
      <c r="EE123" s="537">
        <f t="shared" si="51"/>
        <v>0</v>
      </c>
      <c r="EF123" s="537">
        <f t="shared" si="51"/>
        <v>0</v>
      </c>
      <c r="EG123" s="537">
        <f t="shared" si="51"/>
        <v>0</v>
      </c>
      <c r="EH123" s="537">
        <f t="shared" si="51"/>
        <v>0</v>
      </c>
      <c r="EI123" s="537">
        <f t="shared" si="51"/>
        <v>0</v>
      </c>
      <c r="EJ123" s="537">
        <f t="shared" si="51"/>
        <v>0</v>
      </c>
      <c r="EK123" s="537">
        <f t="shared" si="51"/>
        <v>0</v>
      </c>
      <c r="EL123" s="537">
        <f t="shared" si="51"/>
        <v>0</v>
      </c>
      <c r="EM123" s="537">
        <f t="shared" si="51"/>
        <v>0</v>
      </c>
      <c r="EN123" s="537">
        <f t="shared" si="51"/>
        <v>0</v>
      </c>
      <c r="EO123" s="537">
        <f t="shared" si="51"/>
        <v>0</v>
      </c>
      <c r="EP123" s="537">
        <f t="shared" si="51"/>
        <v>0</v>
      </c>
      <c r="EQ123" s="537">
        <f t="shared" si="51"/>
        <v>0</v>
      </c>
      <c r="ER123" s="537">
        <f t="shared" si="51"/>
        <v>0</v>
      </c>
      <c r="ES123" s="537">
        <f t="shared" si="51"/>
        <v>0</v>
      </c>
      <c r="ET123" s="537">
        <f t="shared" si="51"/>
        <v>0</v>
      </c>
      <c r="EU123" s="537">
        <f t="shared" si="51"/>
        <v>0</v>
      </c>
      <c r="EV123" s="537">
        <f t="shared" si="51"/>
        <v>0</v>
      </c>
      <c r="EW123" s="537">
        <f t="shared" si="51"/>
        <v>0</v>
      </c>
      <c r="EX123" s="537">
        <f t="shared" si="51"/>
        <v>0</v>
      </c>
      <c r="EY123" s="537">
        <f t="shared" si="51"/>
        <v>0</v>
      </c>
      <c r="EZ123" s="537">
        <f t="shared" si="51"/>
        <v>0</v>
      </c>
      <c r="FA123" s="537">
        <f t="shared" si="51"/>
        <v>0</v>
      </c>
      <c r="FB123" s="537">
        <f t="shared" si="51"/>
        <v>0</v>
      </c>
      <c r="FC123" s="537">
        <f t="shared" si="51"/>
        <v>0</v>
      </c>
      <c r="FD123" s="537">
        <f t="shared" si="51"/>
        <v>0</v>
      </c>
      <c r="FE123" s="537">
        <f t="shared" si="51"/>
        <v>0</v>
      </c>
      <c r="FF123" s="537">
        <f t="shared" si="51"/>
        <v>0</v>
      </c>
      <c r="FG123" s="537">
        <f t="shared" si="51"/>
        <v>0</v>
      </c>
      <c r="FH123" s="537">
        <f t="shared" si="51"/>
        <v>0</v>
      </c>
      <c r="FI123" s="537">
        <f t="shared" si="51"/>
        <v>0</v>
      </c>
      <c r="FJ123" s="537">
        <f t="shared" si="51"/>
        <v>0</v>
      </c>
      <c r="FK123" s="537">
        <f t="shared" si="51"/>
        <v>0</v>
      </c>
      <c r="FL123" s="537">
        <f t="shared" si="51"/>
        <v>0</v>
      </c>
      <c r="FM123" s="537">
        <f t="shared" si="51"/>
        <v>0</v>
      </c>
      <c r="FN123" s="537">
        <f t="shared" si="51"/>
        <v>0</v>
      </c>
      <c r="FO123" s="537">
        <f t="shared" si="51"/>
        <v>0</v>
      </c>
      <c r="FP123" s="537">
        <f t="shared" si="51"/>
        <v>0</v>
      </c>
      <c r="FQ123" s="537">
        <f t="shared" si="51"/>
        <v>0</v>
      </c>
      <c r="FR123" s="537">
        <f t="shared" si="51"/>
        <v>0</v>
      </c>
      <c r="FS123" s="537">
        <f t="shared" si="51"/>
        <v>0</v>
      </c>
      <c r="FT123" s="537">
        <f t="shared" si="51"/>
        <v>0</v>
      </c>
      <c r="FU123" s="537">
        <f t="shared" si="51"/>
        <v>0</v>
      </c>
      <c r="FV123" s="537">
        <f t="shared" si="51"/>
        <v>0</v>
      </c>
      <c r="FW123" s="537">
        <f t="shared" si="51"/>
        <v>0</v>
      </c>
      <c r="FX123" s="537">
        <f t="shared" si="51"/>
        <v>0</v>
      </c>
      <c r="FY123" s="537">
        <f t="shared" si="51"/>
        <v>0</v>
      </c>
      <c r="FZ123" s="537">
        <f t="shared" si="51"/>
        <v>0</v>
      </c>
      <c r="GA123" s="537">
        <f t="shared" si="51"/>
        <v>0</v>
      </c>
      <c r="GB123" s="537">
        <f t="shared" si="51"/>
        <v>0</v>
      </c>
      <c r="GC123" s="537">
        <f t="shared" si="51"/>
        <v>0</v>
      </c>
      <c r="GD123" s="537">
        <f t="shared" si="51"/>
        <v>0</v>
      </c>
      <c r="GE123" s="537">
        <f t="shared" si="51"/>
        <v>0</v>
      </c>
      <c r="GF123" s="537">
        <f t="shared" si="51"/>
        <v>0</v>
      </c>
      <c r="GG123" s="537">
        <f t="shared" si="51"/>
        <v>0</v>
      </c>
      <c r="GH123" s="537">
        <f t="shared" si="51"/>
        <v>0</v>
      </c>
      <c r="GI123" s="537">
        <f t="shared" si="51"/>
        <v>0</v>
      </c>
      <c r="GJ123" s="537">
        <f t="shared" si="51"/>
        <v>0</v>
      </c>
    </row>
    <row r="124" spans="5:192" ht="12.75">
      <c r="E124" s="535" t="str">
        <f>E$95</f>
        <v>First post operating period flag</v>
      </c>
      <c r="G124" s="537" t="str">
        <f>G$95</f>
        <v>flag</v>
      </c>
      <c r="H124" s="537">
        <f>H$95</f>
        <v>1</v>
      </c>
      <c r="J124" s="537">
        <f t="shared" si="52" ref="J124:GJ124">J$95</f>
        <v>0</v>
      </c>
      <c r="K124" s="537">
        <f t="shared" si="52"/>
        <v>0</v>
      </c>
      <c r="L124" s="537">
        <f t="shared" si="52"/>
        <v>0</v>
      </c>
      <c r="M124" s="537">
        <f t="shared" si="52"/>
        <v>0</v>
      </c>
      <c r="N124" s="537">
        <f t="shared" si="52"/>
        <v>0</v>
      </c>
      <c r="O124" s="537">
        <f t="shared" si="52"/>
        <v>0</v>
      </c>
      <c r="P124" s="537">
        <f t="shared" si="52"/>
        <v>0</v>
      </c>
      <c r="Q124" s="537">
        <f t="shared" si="52"/>
        <v>0</v>
      </c>
      <c r="R124" s="537">
        <f t="shared" si="52"/>
        <v>0</v>
      </c>
      <c r="S124" s="537">
        <f t="shared" si="52"/>
        <v>0</v>
      </c>
      <c r="T124" s="537">
        <f t="shared" si="52"/>
        <v>0</v>
      </c>
      <c r="U124" s="537">
        <f t="shared" si="52"/>
        <v>0</v>
      </c>
      <c r="V124" s="537">
        <f t="shared" si="52"/>
        <v>0</v>
      </c>
      <c r="W124" s="537">
        <f t="shared" si="52"/>
        <v>0</v>
      </c>
      <c r="X124" s="537">
        <f t="shared" si="52"/>
        <v>0</v>
      </c>
      <c r="Y124" s="537">
        <f t="shared" si="52"/>
        <v>0</v>
      </c>
      <c r="Z124" s="537">
        <f t="shared" si="52"/>
        <v>0</v>
      </c>
      <c r="AA124" s="537">
        <f t="shared" si="52"/>
        <v>0</v>
      </c>
      <c r="AB124" s="537">
        <f t="shared" si="52"/>
        <v>0</v>
      </c>
      <c r="AC124" s="537">
        <f t="shared" si="52"/>
        <v>0</v>
      </c>
      <c r="AD124" s="537">
        <f t="shared" si="52"/>
        <v>0</v>
      </c>
      <c r="AE124" s="537">
        <f t="shared" si="52"/>
        <v>0</v>
      </c>
      <c r="AF124" s="537">
        <f t="shared" si="52"/>
        <v>0</v>
      </c>
      <c r="AG124" s="537">
        <f t="shared" si="52"/>
        <v>0</v>
      </c>
      <c r="AH124" s="537">
        <f t="shared" si="52"/>
        <v>0</v>
      </c>
      <c r="AI124" s="537">
        <f t="shared" si="52"/>
        <v>0</v>
      </c>
      <c r="AJ124" s="537">
        <f t="shared" si="52"/>
        <v>0</v>
      </c>
      <c r="AK124" s="537">
        <f t="shared" si="52"/>
        <v>0</v>
      </c>
      <c r="AL124" s="537">
        <f t="shared" si="52"/>
        <v>0</v>
      </c>
      <c r="AM124" s="537">
        <f t="shared" si="52"/>
        <v>0</v>
      </c>
      <c r="AN124" s="537">
        <f t="shared" si="52"/>
        <v>0</v>
      </c>
      <c r="AO124" s="537">
        <f t="shared" si="52"/>
        <v>0</v>
      </c>
      <c r="AP124" s="537">
        <f t="shared" si="52"/>
        <v>0</v>
      </c>
      <c r="AQ124" s="537">
        <f t="shared" si="52"/>
        <v>0</v>
      </c>
      <c r="AR124" s="537">
        <f t="shared" si="52"/>
        <v>0</v>
      </c>
      <c r="AS124" s="537">
        <f t="shared" si="52"/>
        <v>0</v>
      </c>
      <c r="AT124" s="537">
        <f t="shared" si="52"/>
        <v>0</v>
      </c>
      <c r="AU124" s="537">
        <f t="shared" si="52"/>
        <v>0</v>
      </c>
      <c r="AV124" s="537">
        <f t="shared" si="52"/>
        <v>0</v>
      </c>
      <c r="AW124" s="537">
        <f t="shared" si="52"/>
        <v>0</v>
      </c>
      <c r="AX124" s="537">
        <f t="shared" si="52"/>
        <v>0</v>
      </c>
      <c r="AY124" s="537">
        <f t="shared" si="52"/>
        <v>0</v>
      </c>
      <c r="AZ124" s="537">
        <f t="shared" si="52"/>
        <v>0</v>
      </c>
      <c r="BA124" s="537">
        <f t="shared" si="52"/>
        <v>0</v>
      </c>
      <c r="BB124" s="537">
        <f t="shared" si="52"/>
        <v>0</v>
      </c>
      <c r="BC124" s="537">
        <f t="shared" si="52"/>
        <v>0</v>
      </c>
      <c r="BD124" s="537">
        <f t="shared" si="52"/>
        <v>0</v>
      </c>
      <c r="BE124" s="537">
        <f t="shared" si="52"/>
        <v>0</v>
      </c>
      <c r="BF124" s="537">
        <f t="shared" si="52"/>
        <v>0</v>
      </c>
      <c r="BG124" s="537">
        <f t="shared" si="52"/>
        <v>0</v>
      </c>
      <c r="BH124" s="537">
        <f t="shared" si="52"/>
        <v>0</v>
      </c>
      <c r="BI124" s="537">
        <f t="shared" si="52"/>
        <v>0</v>
      </c>
      <c r="BJ124" s="537">
        <f t="shared" si="52"/>
        <v>0</v>
      </c>
      <c r="BK124" s="537">
        <f t="shared" si="52"/>
        <v>0</v>
      </c>
      <c r="BL124" s="537">
        <f t="shared" si="52"/>
        <v>0</v>
      </c>
      <c r="BM124" s="537">
        <f t="shared" si="52"/>
        <v>0</v>
      </c>
      <c r="BN124" s="537">
        <f t="shared" si="52"/>
        <v>0</v>
      </c>
      <c r="BO124" s="537">
        <f t="shared" si="52"/>
        <v>0</v>
      </c>
      <c r="BP124" s="537">
        <f t="shared" si="52"/>
        <v>0</v>
      </c>
      <c r="BQ124" s="537">
        <f t="shared" si="52"/>
        <v>0</v>
      </c>
      <c r="BR124" s="537">
        <f t="shared" si="52"/>
        <v>0</v>
      </c>
      <c r="BS124" s="537">
        <f t="shared" si="52"/>
        <v>0</v>
      </c>
      <c r="BT124" s="537">
        <f t="shared" si="52"/>
        <v>0</v>
      </c>
      <c r="BU124" s="537">
        <f t="shared" si="52"/>
        <v>0</v>
      </c>
      <c r="BV124" s="537">
        <f t="shared" si="52"/>
        <v>0</v>
      </c>
      <c r="BW124" s="537">
        <f t="shared" si="52"/>
        <v>0</v>
      </c>
      <c r="BX124" s="537">
        <f t="shared" si="52"/>
        <v>0</v>
      </c>
      <c r="BY124" s="537">
        <f t="shared" si="52"/>
        <v>0</v>
      </c>
      <c r="BZ124" s="537">
        <f t="shared" si="52"/>
        <v>0</v>
      </c>
      <c r="CA124" s="537">
        <f t="shared" si="52"/>
        <v>0</v>
      </c>
      <c r="CB124" s="537">
        <f t="shared" si="52"/>
        <v>0</v>
      </c>
      <c r="CC124" s="537">
        <f t="shared" si="52"/>
        <v>0</v>
      </c>
      <c r="CD124" s="537">
        <f t="shared" si="52"/>
        <v>0</v>
      </c>
      <c r="CE124" s="537">
        <f t="shared" si="52"/>
        <v>0</v>
      </c>
      <c r="CF124" s="537">
        <f t="shared" si="52"/>
        <v>0</v>
      </c>
      <c r="CG124" s="537">
        <f t="shared" si="52"/>
        <v>0</v>
      </c>
      <c r="CH124" s="537">
        <f t="shared" si="52"/>
        <v>0</v>
      </c>
      <c r="CI124" s="537">
        <f t="shared" si="52"/>
        <v>0</v>
      </c>
      <c r="CJ124" s="537">
        <f t="shared" si="52"/>
        <v>0</v>
      </c>
      <c r="CK124" s="537">
        <f t="shared" si="52"/>
        <v>0</v>
      </c>
      <c r="CL124" s="537">
        <f t="shared" si="52"/>
        <v>0</v>
      </c>
      <c r="CM124" s="537">
        <f t="shared" si="52"/>
        <v>0</v>
      </c>
      <c r="CN124" s="537">
        <f t="shared" si="52"/>
        <v>0</v>
      </c>
      <c r="CO124" s="537">
        <f t="shared" si="52"/>
        <v>0</v>
      </c>
      <c r="CP124" s="537">
        <f t="shared" si="52"/>
        <v>0</v>
      </c>
      <c r="CQ124" s="537">
        <f t="shared" si="52"/>
        <v>0</v>
      </c>
      <c r="CR124" s="537">
        <f t="shared" si="52"/>
        <v>0</v>
      </c>
      <c r="CS124" s="537">
        <f t="shared" si="52"/>
        <v>0</v>
      </c>
      <c r="CT124" s="537">
        <f t="shared" si="52"/>
        <v>0</v>
      </c>
      <c r="CU124" s="537">
        <f t="shared" si="52"/>
        <v>0</v>
      </c>
      <c r="CV124" s="537">
        <f t="shared" si="52"/>
        <v>0</v>
      </c>
      <c r="CW124" s="537">
        <f t="shared" si="52"/>
        <v>0</v>
      </c>
      <c r="CX124" s="537">
        <f t="shared" si="52"/>
        <v>0</v>
      </c>
      <c r="CY124" s="537">
        <f t="shared" si="52"/>
        <v>0</v>
      </c>
      <c r="CZ124" s="537">
        <f t="shared" si="52"/>
        <v>0</v>
      </c>
      <c r="DA124" s="537">
        <f t="shared" si="52"/>
        <v>0</v>
      </c>
      <c r="DB124" s="537">
        <f t="shared" si="52"/>
        <v>0</v>
      </c>
      <c r="DC124" s="537">
        <f t="shared" si="52"/>
        <v>0</v>
      </c>
      <c r="DD124" s="537">
        <f t="shared" si="52"/>
        <v>0</v>
      </c>
      <c r="DE124" s="537">
        <f t="shared" si="52"/>
        <v>0</v>
      </c>
      <c r="DF124" s="537">
        <f t="shared" si="52"/>
        <v>0</v>
      </c>
      <c r="DG124" s="537">
        <f t="shared" si="52"/>
        <v>0</v>
      </c>
      <c r="DH124" s="537">
        <f t="shared" si="52"/>
        <v>0</v>
      </c>
      <c r="DI124" s="537">
        <f t="shared" si="52"/>
        <v>0</v>
      </c>
      <c r="DJ124" s="537">
        <f t="shared" si="52"/>
        <v>0</v>
      </c>
      <c r="DK124" s="537">
        <f t="shared" si="52"/>
        <v>0</v>
      </c>
      <c r="DL124" s="537">
        <f t="shared" si="52"/>
        <v>0</v>
      </c>
      <c r="DM124" s="537">
        <f t="shared" si="52"/>
        <v>0</v>
      </c>
      <c r="DN124" s="537">
        <f t="shared" si="52"/>
        <v>0</v>
      </c>
      <c r="DO124" s="537">
        <f t="shared" si="52"/>
        <v>0</v>
      </c>
      <c r="DP124" s="537">
        <f t="shared" si="52"/>
        <v>0</v>
      </c>
      <c r="DQ124" s="537">
        <f t="shared" si="52"/>
        <v>0</v>
      </c>
      <c r="DR124" s="537">
        <f t="shared" si="52"/>
        <v>0</v>
      </c>
      <c r="DS124" s="537">
        <f t="shared" si="52"/>
        <v>0</v>
      </c>
      <c r="DT124" s="537">
        <f t="shared" si="52"/>
        <v>0</v>
      </c>
      <c r="DU124" s="537">
        <f t="shared" si="52"/>
        <v>0</v>
      </c>
      <c r="DV124" s="537">
        <f t="shared" si="52"/>
        <v>0</v>
      </c>
      <c r="DW124" s="537">
        <f t="shared" si="52"/>
        <v>0</v>
      </c>
      <c r="DX124" s="537">
        <f t="shared" si="52"/>
        <v>0</v>
      </c>
      <c r="DY124" s="537">
        <f t="shared" si="52"/>
        <v>0</v>
      </c>
      <c r="DZ124" s="537">
        <f t="shared" si="52"/>
        <v>0</v>
      </c>
      <c r="EA124" s="537">
        <f t="shared" si="52"/>
        <v>0</v>
      </c>
      <c r="EB124" s="537">
        <f t="shared" si="52"/>
        <v>0</v>
      </c>
      <c r="EC124" s="537">
        <f t="shared" si="52"/>
        <v>0</v>
      </c>
      <c r="ED124" s="537">
        <f t="shared" si="52"/>
        <v>0</v>
      </c>
      <c r="EE124" s="537">
        <f t="shared" si="52"/>
        <v>0</v>
      </c>
      <c r="EF124" s="537">
        <f t="shared" si="52"/>
        <v>0</v>
      </c>
      <c r="EG124" s="537">
        <f t="shared" si="52"/>
        <v>0</v>
      </c>
      <c r="EH124" s="537">
        <f t="shared" si="52"/>
        <v>0</v>
      </c>
      <c r="EI124" s="537">
        <f t="shared" si="52"/>
        <v>0</v>
      </c>
      <c r="EJ124" s="537">
        <f t="shared" si="52"/>
        <v>1</v>
      </c>
      <c r="EK124" s="537">
        <f t="shared" si="52"/>
        <v>0</v>
      </c>
      <c r="EL124" s="537">
        <f t="shared" si="52"/>
        <v>0</v>
      </c>
      <c r="EM124" s="537">
        <f t="shared" si="52"/>
        <v>0</v>
      </c>
      <c r="EN124" s="537">
        <f t="shared" si="52"/>
        <v>0</v>
      </c>
      <c r="EO124" s="537">
        <f t="shared" si="52"/>
        <v>0</v>
      </c>
      <c r="EP124" s="537">
        <f t="shared" si="52"/>
        <v>0</v>
      </c>
      <c r="EQ124" s="537">
        <f t="shared" si="52"/>
        <v>0</v>
      </c>
      <c r="ER124" s="537">
        <f t="shared" si="52"/>
        <v>0</v>
      </c>
      <c r="ES124" s="537">
        <f t="shared" si="52"/>
        <v>0</v>
      </c>
      <c r="ET124" s="537">
        <f t="shared" si="52"/>
        <v>0</v>
      </c>
      <c r="EU124" s="537">
        <f t="shared" si="52"/>
        <v>0</v>
      </c>
      <c r="EV124" s="537">
        <f t="shared" si="52"/>
        <v>0</v>
      </c>
      <c r="EW124" s="537">
        <f t="shared" si="52"/>
        <v>0</v>
      </c>
      <c r="EX124" s="537">
        <f t="shared" si="52"/>
        <v>0</v>
      </c>
      <c r="EY124" s="537">
        <f t="shared" si="52"/>
        <v>0</v>
      </c>
      <c r="EZ124" s="537">
        <f t="shared" si="52"/>
        <v>0</v>
      </c>
      <c r="FA124" s="537">
        <f t="shared" si="52"/>
        <v>0</v>
      </c>
      <c r="FB124" s="537">
        <f t="shared" si="52"/>
        <v>0</v>
      </c>
      <c r="FC124" s="537">
        <f t="shared" si="52"/>
        <v>0</v>
      </c>
      <c r="FD124" s="537">
        <f t="shared" si="52"/>
        <v>0</v>
      </c>
      <c r="FE124" s="537">
        <f t="shared" si="52"/>
        <v>0</v>
      </c>
      <c r="FF124" s="537">
        <f t="shared" si="52"/>
        <v>0</v>
      </c>
      <c r="FG124" s="537">
        <f t="shared" si="52"/>
        <v>0</v>
      </c>
      <c r="FH124" s="537">
        <f t="shared" si="52"/>
        <v>0</v>
      </c>
      <c r="FI124" s="537">
        <f t="shared" si="52"/>
        <v>0</v>
      </c>
      <c r="FJ124" s="537">
        <f t="shared" si="52"/>
        <v>0</v>
      </c>
      <c r="FK124" s="537">
        <f t="shared" si="52"/>
        <v>0</v>
      </c>
      <c r="FL124" s="537">
        <f t="shared" si="52"/>
        <v>0</v>
      </c>
      <c r="FM124" s="537">
        <f t="shared" si="52"/>
        <v>0</v>
      </c>
      <c r="FN124" s="537">
        <f t="shared" si="52"/>
        <v>0</v>
      </c>
      <c r="FO124" s="537">
        <f t="shared" si="52"/>
        <v>0</v>
      </c>
      <c r="FP124" s="537">
        <f t="shared" si="52"/>
        <v>0</v>
      </c>
      <c r="FQ124" s="537">
        <f t="shared" si="52"/>
        <v>0</v>
      </c>
      <c r="FR124" s="537">
        <f t="shared" si="52"/>
        <v>0</v>
      </c>
      <c r="FS124" s="537">
        <f t="shared" si="52"/>
        <v>0</v>
      </c>
      <c r="FT124" s="537">
        <f t="shared" si="52"/>
        <v>0</v>
      </c>
      <c r="FU124" s="537">
        <f t="shared" si="52"/>
        <v>0</v>
      </c>
      <c r="FV124" s="537">
        <f t="shared" si="52"/>
        <v>0</v>
      </c>
      <c r="FW124" s="537">
        <f t="shared" si="52"/>
        <v>0</v>
      </c>
      <c r="FX124" s="537">
        <f t="shared" si="52"/>
        <v>0</v>
      </c>
      <c r="FY124" s="537">
        <f t="shared" si="52"/>
        <v>0</v>
      </c>
      <c r="FZ124" s="537">
        <f t="shared" si="52"/>
        <v>0</v>
      </c>
      <c r="GA124" s="537">
        <f t="shared" si="52"/>
        <v>0</v>
      </c>
      <c r="GB124" s="537">
        <f t="shared" si="52"/>
        <v>0</v>
      </c>
      <c r="GC124" s="537">
        <f t="shared" si="52"/>
        <v>0</v>
      </c>
      <c r="GD124" s="537">
        <f t="shared" si="52"/>
        <v>0</v>
      </c>
      <c r="GE124" s="537">
        <f t="shared" si="52"/>
        <v>0</v>
      </c>
      <c r="GF124" s="537">
        <f t="shared" si="52"/>
        <v>0</v>
      </c>
      <c r="GG124" s="537">
        <f t="shared" si="52"/>
        <v>0</v>
      </c>
      <c r="GH124" s="537">
        <f t="shared" si="52"/>
        <v>0</v>
      </c>
      <c r="GI124" s="537">
        <f t="shared" si="52"/>
        <v>0</v>
      </c>
      <c r="GJ124" s="537">
        <f t="shared" si="52"/>
        <v>0</v>
      </c>
    </row>
    <row r="125" spans="5:192" ht="12.75">
      <c r="E125" s="535" t="s">
        <v>75</v>
      </c>
      <c r="G125" s="537" t="s">
        <v>46</v>
      </c>
      <c r="H125" s="537">
        <f>SUM(J125:GJ125)</f>
        <v>744</v>
      </c>
      <c r="J125" s="537">
        <f t="shared" si="53" ref="J125:GJ125">I125+J120+J121+J122+J123+J124</f>
        <v>1</v>
      </c>
      <c r="K125" s="537">
        <f t="shared" si="53"/>
        <v>1</v>
      </c>
      <c r="L125" s="537">
        <f t="shared" si="53"/>
        <v>1</v>
      </c>
      <c r="M125" s="537">
        <f t="shared" si="53"/>
        <v>1</v>
      </c>
      <c r="N125" s="537">
        <f t="shared" si="53"/>
        <v>1</v>
      </c>
      <c r="O125" s="537">
        <f t="shared" si="53"/>
        <v>2</v>
      </c>
      <c r="P125" s="537">
        <f t="shared" si="53"/>
        <v>3</v>
      </c>
      <c r="Q125" s="537">
        <f t="shared" si="53"/>
        <v>3</v>
      </c>
      <c r="R125" s="537">
        <f t="shared" si="53"/>
        <v>3</v>
      </c>
      <c r="S125" s="537">
        <f t="shared" si="53"/>
        <v>3</v>
      </c>
      <c r="T125" s="537">
        <f t="shared" si="53"/>
        <v>3</v>
      </c>
      <c r="U125" s="537">
        <f t="shared" si="53"/>
        <v>3</v>
      </c>
      <c r="V125" s="537">
        <f t="shared" si="53"/>
        <v>3</v>
      </c>
      <c r="W125" s="537">
        <f t="shared" si="53"/>
        <v>3</v>
      </c>
      <c r="X125" s="537">
        <f t="shared" si="53"/>
        <v>3</v>
      </c>
      <c r="Y125" s="537">
        <f t="shared" si="53"/>
        <v>3</v>
      </c>
      <c r="Z125" s="537">
        <f t="shared" si="53"/>
        <v>3</v>
      </c>
      <c r="AA125" s="537">
        <f t="shared" si="53"/>
        <v>3</v>
      </c>
      <c r="AB125" s="537">
        <f t="shared" si="53"/>
        <v>3</v>
      </c>
      <c r="AC125" s="537">
        <f t="shared" si="53"/>
        <v>3</v>
      </c>
      <c r="AD125" s="537">
        <f t="shared" si="53"/>
        <v>3</v>
      </c>
      <c r="AE125" s="537">
        <f t="shared" si="53"/>
        <v>3</v>
      </c>
      <c r="AF125" s="537">
        <f t="shared" si="53"/>
        <v>3</v>
      </c>
      <c r="AG125" s="537">
        <f t="shared" si="53"/>
        <v>3</v>
      </c>
      <c r="AH125" s="537">
        <f t="shared" si="53"/>
        <v>3</v>
      </c>
      <c r="AI125" s="537">
        <f t="shared" si="53"/>
        <v>3</v>
      </c>
      <c r="AJ125" s="537">
        <f t="shared" si="53"/>
        <v>3</v>
      </c>
      <c r="AK125" s="537">
        <f t="shared" si="53"/>
        <v>3</v>
      </c>
      <c r="AL125" s="537">
        <f t="shared" si="53"/>
        <v>3</v>
      </c>
      <c r="AM125" s="537">
        <f t="shared" si="53"/>
        <v>3</v>
      </c>
      <c r="AN125" s="537">
        <f t="shared" si="53"/>
        <v>4</v>
      </c>
      <c r="AO125" s="537">
        <f t="shared" si="53"/>
        <v>4</v>
      </c>
      <c r="AP125" s="537">
        <f t="shared" si="53"/>
        <v>4</v>
      </c>
      <c r="AQ125" s="537">
        <f t="shared" si="53"/>
        <v>4</v>
      </c>
      <c r="AR125" s="537">
        <f t="shared" si="53"/>
        <v>4</v>
      </c>
      <c r="AS125" s="537">
        <f t="shared" si="53"/>
        <v>4</v>
      </c>
      <c r="AT125" s="537">
        <f t="shared" si="53"/>
        <v>4</v>
      </c>
      <c r="AU125" s="537">
        <f t="shared" si="53"/>
        <v>4</v>
      </c>
      <c r="AV125" s="537">
        <f t="shared" si="53"/>
        <v>4</v>
      </c>
      <c r="AW125" s="537">
        <f t="shared" si="53"/>
        <v>4</v>
      </c>
      <c r="AX125" s="537">
        <f t="shared" si="53"/>
        <v>4</v>
      </c>
      <c r="AY125" s="537">
        <f t="shared" si="53"/>
        <v>4</v>
      </c>
      <c r="AZ125" s="537">
        <f t="shared" si="53"/>
        <v>4</v>
      </c>
      <c r="BA125" s="537">
        <f t="shared" si="53"/>
        <v>4</v>
      </c>
      <c r="BB125" s="537">
        <f t="shared" si="53"/>
        <v>4</v>
      </c>
      <c r="BC125" s="537">
        <f t="shared" si="53"/>
        <v>4</v>
      </c>
      <c r="BD125" s="537">
        <f t="shared" si="53"/>
        <v>4</v>
      </c>
      <c r="BE125" s="537">
        <f t="shared" si="53"/>
        <v>4</v>
      </c>
      <c r="BF125" s="537">
        <f t="shared" si="53"/>
        <v>4</v>
      </c>
      <c r="BG125" s="537">
        <f t="shared" si="53"/>
        <v>4</v>
      </c>
      <c r="BH125" s="537">
        <f t="shared" si="53"/>
        <v>4</v>
      </c>
      <c r="BI125" s="537">
        <f t="shared" si="53"/>
        <v>4</v>
      </c>
      <c r="BJ125" s="537">
        <f t="shared" si="53"/>
        <v>4</v>
      </c>
      <c r="BK125" s="537">
        <f t="shared" si="53"/>
        <v>4</v>
      </c>
      <c r="BL125" s="537">
        <f t="shared" si="53"/>
        <v>4</v>
      </c>
      <c r="BM125" s="537">
        <f t="shared" si="53"/>
        <v>4</v>
      </c>
      <c r="BN125" s="537">
        <f t="shared" si="53"/>
        <v>4</v>
      </c>
      <c r="BO125" s="537">
        <f t="shared" si="53"/>
        <v>4</v>
      </c>
      <c r="BP125" s="537">
        <f t="shared" si="53"/>
        <v>4</v>
      </c>
      <c r="BQ125" s="537">
        <f t="shared" si="53"/>
        <v>4</v>
      </c>
      <c r="BR125" s="537">
        <f t="shared" si="53"/>
        <v>4</v>
      </c>
      <c r="BS125" s="537">
        <f t="shared" si="53"/>
        <v>4</v>
      </c>
      <c r="BT125" s="537">
        <f t="shared" si="53"/>
        <v>4</v>
      </c>
      <c r="BU125" s="537">
        <f t="shared" si="53"/>
        <v>4</v>
      </c>
      <c r="BV125" s="537">
        <f t="shared" si="53"/>
        <v>4</v>
      </c>
      <c r="BW125" s="537">
        <f t="shared" si="53"/>
        <v>4</v>
      </c>
      <c r="BX125" s="537">
        <f t="shared" si="53"/>
        <v>4</v>
      </c>
      <c r="BY125" s="537">
        <f t="shared" si="53"/>
        <v>4</v>
      </c>
      <c r="BZ125" s="537">
        <f t="shared" si="53"/>
        <v>4</v>
      </c>
      <c r="CA125" s="537">
        <f t="shared" si="53"/>
        <v>4</v>
      </c>
      <c r="CB125" s="537">
        <f t="shared" si="53"/>
        <v>4</v>
      </c>
      <c r="CC125" s="537">
        <f t="shared" si="53"/>
        <v>4</v>
      </c>
      <c r="CD125" s="537">
        <f t="shared" si="53"/>
        <v>4</v>
      </c>
      <c r="CE125" s="537">
        <f t="shared" si="53"/>
        <v>4</v>
      </c>
      <c r="CF125" s="537">
        <f t="shared" si="53"/>
        <v>4</v>
      </c>
      <c r="CG125" s="537">
        <f t="shared" si="53"/>
        <v>4</v>
      </c>
      <c r="CH125" s="537">
        <f t="shared" si="53"/>
        <v>4</v>
      </c>
      <c r="CI125" s="537">
        <f t="shared" si="53"/>
        <v>4</v>
      </c>
      <c r="CJ125" s="537">
        <f t="shared" si="53"/>
        <v>4</v>
      </c>
      <c r="CK125" s="537">
        <f t="shared" si="53"/>
        <v>4</v>
      </c>
      <c r="CL125" s="537">
        <f t="shared" si="53"/>
        <v>4</v>
      </c>
      <c r="CM125" s="537">
        <f t="shared" si="53"/>
        <v>4</v>
      </c>
      <c r="CN125" s="537">
        <f t="shared" si="53"/>
        <v>4</v>
      </c>
      <c r="CO125" s="537">
        <f t="shared" si="53"/>
        <v>4</v>
      </c>
      <c r="CP125" s="537">
        <f t="shared" si="53"/>
        <v>4</v>
      </c>
      <c r="CQ125" s="537">
        <f t="shared" si="53"/>
        <v>4</v>
      </c>
      <c r="CR125" s="537">
        <f t="shared" si="53"/>
        <v>4</v>
      </c>
      <c r="CS125" s="537">
        <f t="shared" si="53"/>
        <v>4</v>
      </c>
      <c r="CT125" s="537">
        <f t="shared" si="53"/>
        <v>4</v>
      </c>
      <c r="CU125" s="537">
        <f t="shared" si="53"/>
        <v>4</v>
      </c>
      <c r="CV125" s="537">
        <f t="shared" si="53"/>
        <v>4</v>
      </c>
      <c r="CW125" s="537">
        <f t="shared" si="53"/>
        <v>4</v>
      </c>
      <c r="CX125" s="537">
        <f t="shared" si="53"/>
        <v>4</v>
      </c>
      <c r="CY125" s="537">
        <f t="shared" si="53"/>
        <v>4</v>
      </c>
      <c r="CZ125" s="537">
        <f t="shared" si="53"/>
        <v>4</v>
      </c>
      <c r="DA125" s="537">
        <f t="shared" si="53"/>
        <v>4</v>
      </c>
      <c r="DB125" s="537">
        <f t="shared" si="53"/>
        <v>4</v>
      </c>
      <c r="DC125" s="537">
        <f t="shared" si="53"/>
        <v>4</v>
      </c>
      <c r="DD125" s="537">
        <f t="shared" si="53"/>
        <v>4</v>
      </c>
      <c r="DE125" s="537">
        <f t="shared" si="53"/>
        <v>4</v>
      </c>
      <c r="DF125" s="537">
        <f t="shared" si="53"/>
        <v>4</v>
      </c>
      <c r="DG125" s="537">
        <f t="shared" si="53"/>
        <v>4</v>
      </c>
      <c r="DH125" s="537">
        <f t="shared" si="53"/>
        <v>4</v>
      </c>
      <c r="DI125" s="537">
        <f t="shared" si="53"/>
        <v>4</v>
      </c>
      <c r="DJ125" s="537">
        <f t="shared" si="53"/>
        <v>4</v>
      </c>
      <c r="DK125" s="537">
        <f t="shared" si="53"/>
        <v>4</v>
      </c>
      <c r="DL125" s="537">
        <f t="shared" si="53"/>
        <v>4</v>
      </c>
      <c r="DM125" s="537">
        <f t="shared" si="53"/>
        <v>4</v>
      </c>
      <c r="DN125" s="537">
        <f t="shared" si="53"/>
        <v>4</v>
      </c>
      <c r="DO125" s="537">
        <f t="shared" si="53"/>
        <v>4</v>
      </c>
      <c r="DP125" s="537">
        <f t="shared" si="53"/>
        <v>4</v>
      </c>
      <c r="DQ125" s="537">
        <f t="shared" si="53"/>
        <v>4</v>
      </c>
      <c r="DR125" s="537">
        <f t="shared" si="53"/>
        <v>4</v>
      </c>
      <c r="DS125" s="537">
        <f t="shared" si="53"/>
        <v>4</v>
      </c>
      <c r="DT125" s="537">
        <f t="shared" si="53"/>
        <v>4</v>
      </c>
      <c r="DU125" s="537">
        <f t="shared" si="53"/>
        <v>4</v>
      </c>
      <c r="DV125" s="537">
        <f t="shared" si="53"/>
        <v>4</v>
      </c>
      <c r="DW125" s="537">
        <f t="shared" si="53"/>
        <v>4</v>
      </c>
      <c r="DX125" s="537">
        <f t="shared" si="53"/>
        <v>4</v>
      </c>
      <c r="DY125" s="537">
        <f t="shared" si="53"/>
        <v>4</v>
      </c>
      <c r="DZ125" s="537">
        <f t="shared" si="53"/>
        <v>4</v>
      </c>
      <c r="EA125" s="537">
        <f t="shared" si="53"/>
        <v>4</v>
      </c>
      <c r="EB125" s="537">
        <f t="shared" si="53"/>
        <v>4</v>
      </c>
      <c r="EC125" s="537">
        <f t="shared" si="53"/>
        <v>4</v>
      </c>
      <c r="ED125" s="537">
        <f t="shared" si="53"/>
        <v>4</v>
      </c>
      <c r="EE125" s="537">
        <f t="shared" si="53"/>
        <v>4</v>
      </c>
      <c r="EF125" s="537">
        <f t="shared" si="53"/>
        <v>4</v>
      </c>
      <c r="EG125" s="537">
        <f t="shared" si="53"/>
        <v>4</v>
      </c>
      <c r="EH125" s="537">
        <f t="shared" si="53"/>
        <v>4</v>
      </c>
      <c r="EI125" s="537">
        <f t="shared" si="53"/>
        <v>4</v>
      </c>
      <c r="EJ125" s="537">
        <f t="shared" si="53"/>
        <v>5</v>
      </c>
      <c r="EK125" s="537">
        <f t="shared" si="53"/>
        <v>5</v>
      </c>
      <c r="EL125" s="537">
        <f t="shared" si="53"/>
        <v>5</v>
      </c>
      <c r="EM125" s="537">
        <f t="shared" si="53"/>
        <v>5</v>
      </c>
      <c r="EN125" s="537">
        <f t="shared" si="53"/>
        <v>5</v>
      </c>
      <c r="EO125" s="537">
        <f t="shared" si="53"/>
        <v>5</v>
      </c>
      <c r="EP125" s="537">
        <f t="shared" si="53"/>
        <v>5</v>
      </c>
      <c r="EQ125" s="537">
        <f t="shared" si="53"/>
        <v>5</v>
      </c>
      <c r="ER125" s="537">
        <f t="shared" si="53"/>
        <v>5</v>
      </c>
      <c r="ES125" s="537">
        <f t="shared" si="53"/>
        <v>5</v>
      </c>
      <c r="ET125" s="537">
        <f t="shared" si="53"/>
        <v>5</v>
      </c>
      <c r="EU125" s="537">
        <f t="shared" si="53"/>
        <v>5</v>
      </c>
      <c r="EV125" s="537">
        <f t="shared" si="53"/>
        <v>5</v>
      </c>
      <c r="EW125" s="537">
        <f t="shared" si="53"/>
        <v>5</v>
      </c>
      <c r="EX125" s="537">
        <f t="shared" si="53"/>
        <v>5</v>
      </c>
      <c r="EY125" s="537">
        <f t="shared" si="53"/>
        <v>5</v>
      </c>
      <c r="EZ125" s="537">
        <f t="shared" si="53"/>
        <v>5</v>
      </c>
      <c r="FA125" s="537">
        <f t="shared" si="53"/>
        <v>5</v>
      </c>
      <c r="FB125" s="537">
        <f t="shared" si="53"/>
        <v>5</v>
      </c>
      <c r="FC125" s="537">
        <f t="shared" si="53"/>
        <v>5</v>
      </c>
      <c r="FD125" s="537">
        <f t="shared" si="53"/>
        <v>5</v>
      </c>
      <c r="FE125" s="537">
        <f t="shared" si="53"/>
        <v>5</v>
      </c>
      <c r="FF125" s="537">
        <f t="shared" si="53"/>
        <v>5</v>
      </c>
      <c r="FG125" s="537">
        <f t="shared" si="53"/>
        <v>5</v>
      </c>
      <c r="FH125" s="537">
        <f t="shared" si="53"/>
        <v>5</v>
      </c>
      <c r="FI125" s="537">
        <f t="shared" si="53"/>
        <v>5</v>
      </c>
      <c r="FJ125" s="537">
        <f t="shared" si="53"/>
        <v>5</v>
      </c>
      <c r="FK125" s="537">
        <f t="shared" si="53"/>
        <v>5</v>
      </c>
      <c r="FL125" s="537">
        <f t="shared" si="53"/>
        <v>5</v>
      </c>
      <c r="FM125" s="537">
        <f t="shared" si="53"/>
        <v>5</v>
      </c>
      <c r="FN125" s="537">
        <f t="shared" si="53"/>
        <v>5</v>
      </c>
      <c r="FO125" s="537">
        <f t="shared" si="53"/>
        <v>5</v>
      </c>
      <c r="FP125" s="537">
        <f t="shared" si="53"/>
        <v>5</v>
      </c>
      <c r="FQ125" s="537">
        <f t="shared" si="53"/>
        <v>5</v>
      </c>
      <c r="FR125" s="537">
        <f t="shared" si="53"/>
        <v>5</v>
      </c>
      <c r="FS125" s="537">
        <f t="shared" si="53"/>
        <v>5</v>
      </c>
      <c r="FT125" s="537">
        <f t="shared" si="53"/>
        <v>5</v>
      </c>
      <c r="FU125" s="537">
        <f t="shared" si="53"/>
        <v>5</v>
      </c>
      <c r="FV125" s="537">
        <f t="shared" si="53"/>
        <v>5</v>
      </c>
      <c r="FW125" s="537">
        <f t="shared" si="53"/>
        <v>5</v>
      </c>
      <c r="FX125" s="537">
        <f t="shared" si="53"/>
        <v>5</v>
      </c>
      <c r="FY125" s="537">
        <f t="shared" si="53"/>
        <v>5</v>
      </c>
      <c r="FZ125" s="537">
        <f t="shared" si="53"/>
        <v>5</v>
      </c>
      <c r="GA125" s="537">
        <f t="shared" si="53"/>
        <v>5</v>
      </c>
      <c r="GB125" s="537">
        <f t="shared" si="53"/>
        <v>5</v>
      </c>
      <c r="GC125" s="537">
        <f t="shared" si="53"/>
        <v>5</v>
      </c>
      <c r="GD125" s="537">
        <f t="shared" si="53"/>
        <v>5</v>
      </c>
      <c r="GE125" s="537">
        <f t="shared" si="53"/>
        <v>5</v>
      </c>
      <c r="GF125" s="537">
        <f t="shared" si="53"/>
        <v>5</v>
      </c>
      <c r="GG125" s="537">
        <f t="shared" si="53"/>
        <v>5</v>
      </c>
      <c r="GH125" s="537">
        <f t="shared" si="53"/>
        <v>5</v>
      </c>
      <c r="GI125" s="537">
        <f t="shared" si="53"/>
        <v>5</v>
      </c>
      <c r="GJ125" s="537">
        <f t="shared" si="53"/>
        <v>5</v>
      </c>
    </row>
    <row r="127" spans="5:7" ht="12.75">
      <c r="E127" s="546" t="str">
        <f>InpC!E$29</f>
        <v>Pre-forecast period</v>
      </c>
      <c r="F127" s="548" t="str">
        <f>InpC!F$29</f>
        <v>Pre-fcst</v>
      </c>
      <c r="G127" s="548" t="str">
        <f>InpC!G$29</f>
        <v>label</v>
      </c>
    </row>
    <row r="128" spans="5:7" ht="12.75">
      <c r="E128" s="546" t="str">
        <f>InpC!E$30</f>
        <v>Financial Close</v>
      </c>
      <c r="F128" s="548" t="str">
        <f>InpC!F$30</f>
        <v>Fin Close</v>
      </c>
      <c r="G128" s="548" t="str">
        <f>InpC!G$30</f>
        <v>label</v>
      </c>
    </row>
    <row r="129" spans="5:7" ht="12.75">
      <c r="E129" s="546" t="str">
        <f>InpC!E$31</f>
        <v>Construction</v>
      </c>
      <c r="F129" s="548" t="str">
        <f>InpC!F$31</f>
        <v>Construction</v>
      </c>
      <c r="G129" s="548" t="str">
        <f>InpC!G$31</f>
        <v>label</v>
      </c>
    </row>
    <row r="130" spans="5:7" ht="12.75">
      <c r="E130" s="546" t="str">
        <f>InpC!E$32</f>
        <v>Operations</v>
      </c>
      <c r="F130" s="548" t="str">
        <f>InpC!F$32</f>
        <v>Operations</v>
      </c>
      <c r="G130" s="548" t="str">
        <f>InpC!G$32</f>
        <v>label</v>
      </c>
    </row>
    <row r="131" spans="5:7" ht="12.75">
      <c r="E131" s="546" t="str">
        <f>InpC!E$33</f>
        <v>Post ops</v>
      </c>
      <c r="F131" s="548" t="str">
        <f>InpC!F$33</f>
        <v>Post ops</v>
      </c>
      <c r="G131" s="548" t="str">
        <f>InpC!G$33</f>
        <v>label</v>
      </c>
    </row>
    <row r="132" spans="5:192" ht="12.75">
      <c r="E132" s="535" t="str">
        <f>E$125</f>
        <v>Timeline label counter</v>
      </c>
      <c r="G132" s="537" t="str">
        <f>G$125</f>
        <v>counter</v>
      </c>
      <c r="H132" s="537">
        <f>H$125</f>
        <v>744</v>
      </c>
      <c r="J132" s="537">
        <f t="shared" si="54" ref="J132:GJ132">J$125</f>
        <v>1</v>
      </c>
      <c r="K132" s="537">
        <f t="shared" si="54"/>
        <v>1</v>
      </c>
      <c r="L132" s="537">
        <f t="shared" si="54"/>
        <v>1</v>
      </c>
      <c r="M132" s="537">
        <f t="shared" si="54"/>
        <v>1</v>
      </c>
      <c r="N132" s="537">
        <f t="shared" si="54"/>
        <v>1</v>
      </c>
      <c r="O132" s="537">
        <f t="shared" si="54"/>
        <v>2</v>
      </c>
      <c r="P132" s="537">
        <f t="shared" si="54"/>
        <v>3</v>
      </c>
      <c r="Q132" s="537">
        <f t="shared" si="54"/>
        <v>3</v>
      </c>
      <c r="R132" s="537">
        <f t="shared" si="54"/>
        <v>3</v>
      </c>
      <c r="S132" s="537">
        <f t="shared" si="54"/>
        <v>3</v>
      </c>
      <c r="T132" s="537">
        <f t="shared" si="54"/>
        <v>3</v>
      </c>
      <c r="U132" s="537">
        <f t="shared" si="54"/>
        <v>3</v>
      </c>
      <c r="V132" s="537">
        <f t="shared" si="54"/>
        <v>3</v>
      </c>
      <c r="W132" s="537">
        <f t="shared" si="54"/>
        <v>3</v>
      </c>
      <c r="X132" s="537">
        <f t="shared" si="54"/>
        <v>3</v>
      </c>
      <c r="Y132" s="537">
        <f t="shared" si="54"/>
        <v>3</v>
      </c>
      <c r="Z132" s="537">
        <f t="shared" si="54"/>
        <v>3</v>
      </c>
      <c r="AA132" s="537">
        <f t="shared" si="54"/>
        <v>3</v>
      </c>
      <c r="AB132" s="537">
        <f t="shared" si="54"/>
        <v>3</v>
      </c>
      <c r="AC132" s="537">
        <f t="shared" si="54"/>
        <v>3</v>
      </c>
      <c r="AD132" s="537">
        <f t="shared" si="54"/>
        <v>3</v>
      </c>
      <c r="AE132" s="537">
        <f t="shared" si="54"/>
        <v>3</v>
      </c>
      <c r="AF132" s="537">
        <f t="shared" si="54"/>
        <v>3</v>
      </c>
      <c r="AG132" s="537">
        <f t="shared" si="54"/>
        <v>3</v>
      </c>
      <c r="AH132" s="537">
        <f t="shared" si="54"/>
        <v>3</v>
      </c>
      <c r="AI132" s="537">
        <f t="shared" si="54"/>
        <v>3</v>
      </c>
      <c r="AJ132" s="537">
        <f t="shared" si="54"/>
        <v>3</v>
      </c>
      <c r="AK132" s="537">
        <f t="shared" si="54"/>
        <v>3</v>
      </c>
      <c r="AL132" s="537">
        <f t="shared" si="54"/>
        <v>3</v>
      </c>
      <c r="AM132" s="537">
        <f t="shared" si="54"/>
        <v>3</v>
      </c>
      <c r="AN132" s="537">
        <f t="shared" si="54"/>
        <v>4</v>
      </c>
      <c r="AO132" s="537">
        <f t="shared" si="54"/>
        <v>4</v>
      </c>
      <c r="AP132" s="537">
        <f t="shared" si="54"/>
        <v>4</v>
      </c>
      <c r="AQ132" s="537">
        <f t="shared" si="54"/>
        <v>4</v>
      </c>
      <c r="AR132" s="537">
        <f t="shared" si="54"/>
        <v>4</v>
      </c>
      <c r="AS132" s="537">
        <f t="shared" si="54"/>
        <v>4</v>
      </c>
      <c r="AT132" s="537">
        <f t="shared" si="54"/>
        <v>4</v>
      </c>
      <c r="AU132" s="537">
        <f t="shared" si="54"/>
        <v>4</v>
      </c>
      <c r="AV132" s="537">
        <f t="shared" si="54"/>
        <v>4</v>
      </c>
      <c r="AW132" s="537">
        <f t="shared" si="54"/>
        <v>4</v>
      </c>
      <c r="AX132" s="537">
        <f t="shared" si="54"/>
        <v>4</v>
      </c>
      <c r="AY132" s="537">
        <f t="shared" si="54"/>
        <v>4</v>
      </c>
      <c r="AZ132" s="537">
        <f t="shared" si="54"/>
        <v>4</v>
      </c>
      <c r="BA132" s="537">
        <f t="shared" si="54"/>
        <v>4</v>
      </c>
      <c r="BB132" s="537">
        <f t="shared" si="54"/>
        <v>4</v>
      </c>
      <c r="BC132" s="537">
        <f t="shared" si="54"/>
        <v>4</v>
      </c>
      <c r="BD132" s="537">
        <f t="shared" si="54"/>
        <v>4</v>
      </c>
      <c r="BE132" s="537">
        <f t="shared" si="54"/>
        <v>4</v>
      </c>
      <c r="BF132" s="537">
        <f t="shared" si="54"/>
        <v>4</v>
      </c>
      <c r="BG132" s="537">
        <f t="shared" si="54"/>
        <v>4</v>
      </c>
      <c r="BH132" s="537">
        <f t="shared" si="54"/>
        <v>4</v>
      </c>
      <c r="BI132" s="537">
        <f t="shared" si="54"/>
        <v>4</v>
      </c>
      <c r="BJ132" s="537">
        <f t="shared" si="54"/>
        <v>4</v>
      </c>
      <c r="BK132" s="537">
        <f t="shared" si="54"/>
        <v>4</v>
      </c>
      <c r="BL132" s="537">
        <f t="shared" si="54"/>
        <v>4</v>
      </c>
      <c r="BM132" s="537">
        <f t="shared" si="54"/>
        <v>4</v>
      </c>
      <c r="BN132" s="537">
        <f t="shared" si="54"/>
        <v>4</v>
      </c>
      <c r="BO132" s="537">
        <f t="shared" si="54"/>
        <v>4</v>
      </c>
      <c r="BP132" s="537">
        <f t="shared" si="54"/>
        <v>4</v>
      </c>
      <c r="BQ132" s="537">
        <f t="shared" si="54"/>
        <v>4</v>
      </c>
      <c r="BR132" s="537">
        <f t="shared" si="54"/>
        <v>4</v>
      </c>
      <c r="BS132" s="537">
        <f t="shared" si="54"/>
        <v>4</v>
      </c>
      <c r="BT132" s="537">
        <f t="shared" si="54"/>
        <v>4</v>
      </c>
      <c r="BU132" s="537">
        <f t="shared" si="54"/>
        <v>4</v>
      </c>
      <c r="BV132" s="537">
        <f t="shared" si="54"/>
        <v>4</v>
      </c>
      <c r="BW132" s="537">
        <f t="shared" si="54"/>
        <v>4</v>
      </c>
      <c r="BX132" s="537">
        <f t="shared" si="54"/>
        <v>4</v>
      </c>
      <c r="BY132" s="537">
        <f t="shared" si="54"/>
        <v>4</v>
      </c>
      <c r="BZ132" s="537">
        <f t="shared" si="54"/>
        <v>4</v>
      </c>
      <c r="CA132" s="537">
        <f t="shared" si="54"/>
        <v>4</v>
      </c>
      <c r="CB132" s="537">
        <f t="shared" si="54"/>
        <v>4</v>
      </c>
      <c r="CC132" s="537">
        <f t="shared" si="54"/>
        <v>4</v>
      </c>
      <c r="CD132" s="537">
        <f t="shared" si="54"/>
        <v>4</v>
      </c>
      <c r="CE132" s="537">
        <f t="shared" si="54"/>
        <v>4</v>
      </c>
      <c r="CF132" s="537">
        <f t="shared" si="54"/>
        <v>4</v>
      </c>
      <c r="CG132" s="537">
        <f t="shared" si="54"/>
        <v>4</v>
      </c>
      <c r="CH132" s="537">
        <f t="shared" si="54"/>
        <v>4</v>
      </c>
      <c r="CI132" s="537">
        <f t="shared" si="54"/>
        <v>4</v>
      </c>
      <c r="CJ132" s="537">
        <f t="shared" si="54"/>
        <v>4</v>
      </c>
      <c r="CK132" s="537">
        <f t="shared" si="54"/>
        <v>4</v>
      </c>
      <c r="CL132" s="537">
        <f t="shared" si="54"/>
        <v>4</v>
      </c>
      <c r="CM132" s="537">
        <f t="shared" si="54"/>
        <v>4</v>
      </c>
      <c r="CN132" s="537">
        <f t="shared" si="54"/>
        <v>4</v>
      </c>
      <c r="CO132" s="537">
        <f t="shared" si="54"/>
        <v>4</v>
      </c>
      <c r="CP132" s="537">
        <f t="shared" si="54"/>
        <v>4</v>
      </c>
      <c r="CQ132" s="537">
        <f t="shared" si="54"/>
        <v>4</v>
      </c>
      <c r="CR132" s="537">
        <f t="shared" si="54"/>
        <v>4</v>
      </c>
      <c r="CS132" s="537">
        <f t="shared" si="54"/>
        <v>4</v>
      </c>
      <c r="CT132" s="537">
        <f t="shared" si="54"/>
        <v>4</v>
      </c>
      <c r="CU132" s="537">
        <f t="shared" si="54"/>
        <v>4</v>
      </c>
      <c r="CV132" s="537">
        <f t="shared" si="54"/>
        <v>4</v>
      </c>
      <c r="CW132" s="537">
        <f t="shared" si="54"/>
        <v>4</v>
      </c>
      <c r="CX132" s="537">
        <f t="shared" si="54"/>
        <v>4</v>
      </c>
      <c r="CY132" s="537">
        <f t="shared" si="54"/>
        <v>4</v>
      </c>
      <c r="CZ132" s="537">
        <f t="shared" si="54"/>
        <v>4</v>
      </c>
      <c r="DA132" s="537">
        <f t="shared" si="54"/>
        <v>4</v>
      </c>
      <c r="DB132" s="537">
        <f t="shared" si="54"/>
        <v>4</v>
      </c>
      <c r="DC132" s="537">
        <f t="shared" si="54"/>
        <v>4</v>
      </c>
      <c r="DD132" s="537">
        <f t="shared" si="54"/>
        <v>4</v>
      </c>
      <c r="DE132" s="537">
        <f t="shared" si="54"/>
        <v>4</v>
      </c>
      <c r="DF132" s="537">
        <f t="shared" si="54"/>
        <v>4</v>
      </c>
      <c r="DG132" s="537">
        <f t="shared" si="54"/>
        <v>4</v>
      </c>
      <c r="DH132" s="537">
        <f t="shared" si="54"/>
        <v>4</v>
      </c>
      <c r="DI132" s="537">
        <f t="shared" si="54"/>
        <v>4</v>
      </c>
      <c r="DJ132" s="537">
        <f t="shared" si="54"/>
        <v>4</v>
      </c>
      <c r="DK132" s="537">
        <f t="shared" si="54"/>
        <v>4</v>
      </c>
      <c r="DL132" s="537">
        <f t="shared" si="54"/>
        <v>4</v>
      </c>
      <c r="DM132" s="537">
        <f t="shared" si="54"/>
        <v>4</v>
      </c>
      <c r="DN132" s="537">
        <f t="shared" si="54"/>
        <v>4</v>
      </c>
      <c r="DO132" s="537">
        <f t="shared" si="54"/>
        <v>4</v>
      </c>
      <c r="DP132" s="537">
        <f t="shared" si="54"/>
        <v>4</v>
      </c>
      <c r="DQ132" s="537">
        <f t="shared" si="54"/>
        <v>4</v>
      </c>
      <c r="DR132" s="537">
        <f t="shared" si="54"/>
        <v>4</v>
      </c>
      <c r="DS132" s="537">
        <f t="shared" si="54"/>
        <v>4</v>
      </c>
      <c r="DT132" s="537">
        <f t="shared" si="54"/>
        <v>4</v>
      </c>
      <c r="DU132" s="537">
        <f t="shared" si="54"/>
        <v>4</v>
      </c>
      <c r="DV132" s="537">
        <f t="shared" si="54"/>
        <v>4</v>
      </c>
      <c r="DW132" s="537">
        <f t="shared" si="54"/>
        <v>4</v>
      </c>
      <c r="DX132" s="537">
        <f t="shared" si="54"/>
        <v>4</v>
      </c>
      <c r="DY132" s="537">
        <f t="shared" si="54"/>
        <v>4</v>
      </c>
      <c r="DZ132" s="537">
        <f t="shared" si="54"/>
        <v>4</v>
      </c>
      <c r="EA132" s="537">
        <f t="shared" si="54"/>
        <v>4</v>
      </c>
      <c r="EB132" s="537">
        <f t="shared" si="54"/>
        <v>4</v>
      </c>
      <c r="EC132" s="537">
        <f t="shared" si="54"/>
        <v>4</v>
      </c>
      <c r="ED132" s="537">
        <f t="shared" si="54"/>
        <v>4</v>
      </c>
      <c r="EE132" s="537">
        <f t="shared" si="54"/>
        <v>4</v>
      </c>
      <c r="EF132" s="537">
        <f t="shared" si="54"/>
        <v>4</v>
      </c>
      <c r="EG132" s="537">
        <f t="shared" si="54"/>
        <v>4</v>
      </c>
      <c r="EH132" s="537">
        <f t="shared" si="54"/>
        <v>4</v>
      </c>
      <c r="EI132" s="537">
        <f t="shared" si="54"/>
        <v>4</v>
      </c>
      <c r="EJ132" s="537">
        <f t="shared" si="54"/>
        <v>5</v>
      </c>
      <c r="EK132" s="537">
        <f t="shared" si="54"/>
        <v>5</v>
      </c>
      <c r="EL132" s="537">
        <f t="shared" si="54"/>
        <v>5</v>
      </c>
      <c r="EM132" s="537">
        <f t="shared" si="54"/>
        <v>5</v>
      </c>
      <c r="EN132" s="537">
        <f t="shared" si="54"/>
        <v>5</v>
      </c>
      <c r="EO132" s="537">
        <f t="shared" si="54"/>
        <v>5</v>
      </c>
      <c r="EP132" s="537">
        <f t="shared" si="54"/>
        <v>5</v>
      </c>
      <c r="EQ132" s="537">
        <f t="shared" si="54"/>
        <v>5</v>
      </c>
      <c r="ER132" s="537">
        <f t="shared" si="54"/>
        <v>5</v>
      </c>
      <c r="ES132" s="537">
        <f t="shared" si="54"/>
        <v>5</v>
      </c>
      <c r="ET132" s="537">
        <f t="shared" si="54"/>
        <v>5</v>
      </c>
      <c r="EU132" s="537">
        <f t="shared" si="54"/>
        <v>5</v>
      </c>
      <c r="EV132" s="537">
        <f t="shared" si="54"/>
        <v>5</v>
      </c>
      <c r="EW132" s="537">
        <f t="shared" si="54"/>
        <v>5</v>
      </c>
      <c r="EX132" s="537">
        <f t="shared" si="54"/>
        <v>5</v>
      </c>
      <c r="EY132" s="537">
        <f t="shared" si="54"/>
        <v>5</v>
      </c>
      <c r="EZ132" s="537">
        <f t="shared" si="54"/>
        <v>5</v>
      </c>
      <c r="FA132" s="537">
        <f t="shared" si="54"/>
        <v>5</v>
      </c>
      <c r="FB132" s="537">
        <f t="shared" si="54"/>
        <v>5</v>
      </c>
      <c r="FC132" s="537">
        <f t="shared" si="54"/>
        <v>5</v>
      </c>
      <c r="FD132" s="537">
        <f t="shared" si="54"/>
        <v>5</v>
      </c>
      <c r="FE132" s="537">
        <f t="shared" si="54"/>
        <v>5</v>
      </c>
      <c r="FF132" s="537">
        <f t="shared" si="54"/>
        <v>5</v>
      </c>
      <c r="FG132" s="537">
        <f t="shared" si="54"/>
        <v>5</v>
      </c>
      <c r="FH132" s="537">
        <f t="shared" si="54"/>
        <v>5</v>
      </c>
      <c r="FI132" s="537">
        <f t="shared" si="54"/>
        <v>5</v>
      </c>
      <c r="FJ132" s="537">
        <f t="shared" si="54"/>
        <v>5</v>
      </c>
      <c r="FK132" s="537">
        <f t="shared" si="54"/>
        <v>5</v>
      </c>
      <c r="FL132" s="537">
        <f t="shared" si="54"/>
        <v>5</v>
      </c>
      <c r="FM132" s="537">
        <f t="shared" si="54"/>
        <v>5</v>
      </c>
      <c r="FN132" s="537">
        <f t="shared" si="54"/>
        <v>5</v>
      </c>
      <c r="FO132" s="537">
        <f t="shared" si="54"/>
        <v>5</v>
      </c>
      <c r="FP132" s="537">
        <f t="shared" si="54"/>
        <v>5</v>
      </c>
      <c r="FQ132" s="537">
        <f t="shared" si="54"/>
        <v>5</v>
      </c>
      <c r="FR132" s="537">
        <f t="shared" si="54"/>
        <v>5</v>
      </c>
      <c r="FS132" s="537">
        <f t="shared" si="54"/>
        <v>5</v>
      </c>
      <c r="FT132" s="537">
        <f t="shared" si="54"/>
        <v>5</v>
      </c>
      <c r="FU132" s="537">
        <f t="shared" si="54"/>
        <v>5</v>
      </c>
      <c r="FV132" s="537">
        <f t="shared" si="54"/>
        <v>5</v>
      </c>
      <c r="FW132" s="537">
        <f t="shared" si="54"/>
        <v>5</v>
      </c>
      <c r="FX132" s="537">
        <f t="shared" si="54"/>
        <v>5</v>
      </c>
      <c r="FY132" s="537">
        <f t="shared" si="54"/>
        <v>5</v>
      </c>
      <c r="FZ132" s="537">
        <f t="shared" si="54"/>
        <v>5</v>
      </c>
      <c r="GA132" s="537">
        <f t="shared" si="54"/>
        <v>5</v>
      </c>
      <c r="GB132" s="537">
        <f t="shared" si="54"/>
        <v>5</v>
      </c>
      <c r="GC132" s="537">
        <f t="shared" si="54"/>
        <v>5</v>
      </c>
      <c r="GD132" s="537">
        <f t="shared" si="54"/>
        <v>5</v>
      </c>
      <c r="GE132" s="537">
        <f t="shared" si="54"/>
        <v>5</v>
      </c>
      <c r="GF132" s="537">
        <f t="shared" si="54"/>
        <v>5</v>
      </c>
      <c r="GG132" s="537">
        <f t="shared" si="54"/>
        <v>5</v>
      </c>
      <c r="GH132" s="537">
        <f t="shared" si="54"/>
        <v>5</v>
      </c>
      <c r="GI132" s="537">
        <f t="shared" si="54"/>
        <v>5</v>
      </c>
      <c r="GJ132" s="537">
        <f t="shared" si="54"/>
        <v>5</v>
      </c>
    </row>
    <row r="133" spans="5:192" ht="12.75">
      <c r="E133" s="535" t="s">
        <v>29</v>
      </c>
      <c r="G133" s="537" t="s">
        <v>32</v>
      </c>
      <c r="H133" s="537">
        <f>SUM(J133:GJ133)</f>
        <v>0</v>
      </c>
      <c r="J133" s="537" t="str">
        <f t="shared" si="55" ref="J133:GJ133">CHOOSE(J132,$F127,$F128,$F129,$F130,$F131)</f>
        <v>Pre-fcst</v>
      </c>
      <c r="K133" s="537" t="str">
        <f t="shared" si="55"/>
        <v>Pre-fcst</v>
      </c>
      <c r="L133" s="537" t="str">
        <f t="shared" si="55"/>
        <v>Pre-fcst</v>
      </c>
      <c r="M133" s="537" t="str">
        <f t="shared" si="55"/>
        <v>Pre-fcst</v>
      </c>
      <c r="N133" s="537" t="str">
        <f t="shared" si="55"/>
        <v>Pre-fcst</v>
      </c>
      <c r="O133" s="537" t="str">
        <f t="shared" si="55"/>
        <v>Fin Close</v>
      </c>
      <c r="P133" s="537" t="str">
        <f t="shared" si="55"/>
        <v>Construction</v>
      </c>
      <c r="Q133" s="537" t="str">
        <f t="shared" si="55"/>
        <v>Construction</v>
      </c>
      <c r="R133" s="537" t="str">
        <f t="shared" si="55"/>
        <v>Construction</v>
      </c>
      <c r="S133" s="537" t="str">
        <f t="shared" si="55"/>
        <v>Construction</v>
      </c>
      <c r="T133" s="537" t="str">
        <f t="shared" si="55"/>
        <v>Construction</v>
      </c>
      <c r="U133" s="537" t="str">
        <f t="shared" si="55"/>
        <v>Construction</v>
      </c>
      <c r="V133" s="537" t="str">
        <f t="shared" si="55"/>
        <v>Construction</v>
      </c>
      <c r="W133" s="537" t="str">
        <f t="shared" si="55"/>
        <v>Construction</v>
      </c>
      <c r="X133" s="537" t="str">
        <f t="shared" si="55"/>
        <v>Construction</v>
      </c>
      <c r="Y133" s="537" t="str">
        <f t="shared" si="55"/>
        <v>Construction</v>
      </c>
      <c r="Z133" s="537" t="str">
        <f t="shared" si="55"/>
        <v>Construction</v>
      </c>
      <c r="AA133" s="537" t="str">
        <f t="shared" si="55"/>
        <v>Construction</v>
      </c>
      <c r="AB133" s="537" t="str">
        <f t="shared" si="55"/>
        <v>Construction</v>
      </c>
      <c r="AC133" s="537" t="str">
        <f t="shared" si="55"/>
        <v>Construction</v>
      </c>
      <c r="AD133" s="537" t="str">
        <f t="shared" si="55"/>
        <v>Construction</v>
      </c>
      <c r="AE133" s="537" t="str">
        <f t="shared" si="55"/>
        <v>Construction</v>
      </c>
      <c r="AF133" s="537" t="str">
        <f t="shared" si="55"/>
        <v>Construction</v>
      </c>
      <c r="AG133" s="537" t="str">
        <f t="shared" si="55"/>
        <v>Construction</v>
      </c>
      <c r="AH133" s="537" t="str">
        <f t="shared" si="55"/>
        <v>Construction</v>
      </c>
      <c r="AI133" s="537" t="str">
        <f t="shared" si="55"/>
        <v>Construction</v>
      </c>
      <c r="AJ133" s="537" t="str">
        <f t="shared" si="55"/>
        <v>Construction</v>
      </c>
      <c r="AK133" s="537" t="str">
        <f t="shared" si="55"/>
        <v>Construction</v>
      </c>
      <c r="AL133" s="537" t="str">
        <f t="shared" si="55"/>
        <v>Construction</v>
      </c>
      <c r="AM133" s="537" t="str">
        <f t="shared" si="55"/>
        <v>Construction</v>
      </c>
      <c r="AN133" s="537" t="str">
        <f t="shared" si="55"/>
        <v>Operations</v>
      </c>
      <c r="AO133" s="537" t="str">
        <f t="shared" si="55"/>
        <v>Operations</v>
      </c>
      <c r="AP133" s="537" t="str">
        <f t="shared" si="55"/>
        <v>Operations</v>
      </c>
      <c r="AQ133" s="537" t="str">
        <f t="shared" si="55"/>
        <v>Operations</v>
      </c>
      <c r="AR133" s="537" t="str">
        <f t="shared" si="55"/>
        <v>Operations</v>
      </c>
      <c r="AS133" s="537" t="str">
        <f t="shared" si="55"/>
        <v>Operations</v>
      </c>
      <c r="AT133" s="537" t="str">
        <f t="shared" si="55"/>
        <v>Operations</v>
      </c>
      <c r="AU133" s="537" t="str">
        <f t="shared" si="55"/>
        <v>Operations</v>
      </c>
      <c r="AV133" s="537" t="str">
        <f t="shared" si="55"/>
        <v>Operations</v>
      </c>
      <c r="AW133" s="537" t="str">
        <f t="shared" si="55"/>
        <v>Operations</v>
      </c>
      <c r="AX133" s="537" t="str">
        <f t="shared" si="55"/>
        <v>Operations</v>
      </c>
      <c r="AY133" s="537" t="str">
        <f t="shared" si="55"/>
        <v>Operations</v>
      </c>
      <c r="AZ133" s="537" t="str">
        <f t="shared" si="55"/>
        <v>Operations</v>
      </c>
      <c r="BA133" s="537" t="str">
        <f t="shared" si="55"/>
        <v>Operations</v>
      </c>
      <c r="BB133" s="537" t="str">
        <f t="shared" si="55"/>
        <v>Operations</v>
      </c>
      <c r="BC133" s="537" t="str">
        <f t="shared" si="55"/>
        <v>Operations</v>
      </c>
      <c r="BD133" s="537" t="str">
        <f t="shared" si="55"/>
        <v>Operations</v>
      </c>
      <c r="BE133" s="537" t="str">
        <f t="shared" si="55"/>
        <v>Operations</v>
      </c>
      <c r="BF133" s="537" t="str">
        <f t="shared" si="55"/>
        <v>Operations</v>
      </c>
      <c r="BG133" s="537" t="str">
        <f t="shared" si="55"/>
        <v>Operations</v>
      </c>
      <c r="BH133" s="537" t="str">
        <f t="shared" si="55"/>
        <v>Operations</v>
      </c>
      <c r="BI133" s="537" t="str">
        <f t="shared" si="55"/>
        <v>Operations</v>
      </c>
      <c r="BJ133" s="537" t="str">
        <f t="shared" si="55"/>
        <v>Operations</v>
      </c>
      <c r="BK133" s="537" t="str">
        <f t="shared" si="55"/>
        <v>Operations</v>
      </c>
      <c r="BL133" s="537" t="str">
        <f t="shared" si="55"/>
        <v>Operations</v>
      </c>
      <c r="BM133" s="537" t="str">
        <f t="shared" si="55"/>
        <v>Operations</v>
      </c>
      <c r="BN133" s="537" t="str">
        <f t="shared" si="55"/>
        <v>Operations</v>
      </c>
      <c r="BO133" s="537" t="str">
        <f t="shared" si="55"/>
        <v>Operations</v>
      </c>
      <c r="BP133" s="537" t="str">
        <f t="shared" si="55"/>
        <v>Operations</v>
      </c>
      <c r="BQ133" s="537" t="str">
        <f t="shared" si="55"/>
        <v>Operations</v>
      </c>
      <c r="BR133" s="537" t="str">
        <f t="shared" si="55"/>
        <v>Operations</v>
      </c>
      <c r="BS133" s="537" t="str">
        <f t="shared" si="55"/>
        <v>Operations</v>
      </c>
      <c r="BT133" s="537" t="str">
        <f t="shared" si="55"/>
        <v>Operations</v>
      </c>
      <c r="BU133" s="537" t="str">
        <f t="shared" si="55"/>
        <v>Operations</v>
      </c>
      <c r="BV133" s="537" t="str">
        <f t="shared" si="55"/>
        <v>Operations</v>
      </c>
      <c r="BW133" s="537" t="str">
        <f t="shared" si="55"/>
        <v>Operations</v>
      </c>
      <c r="BX133" s="537" t="str">
        <f t="shared" si="55"/>
        <v>Operations</v>
      </c>
      <c r="BY133" s="537" t="str">
        <f t="shared" si="55"/>
        <v>Operations</v>
      </c>
      <c r="BZ133" s="537" t="str">
        <f t="shared" si="55"/>
        <v>Operations</v>
      </c>
      <c r="CA133" s="537" t="str">
        <f t="shared" si="55"/>
        <v>Operations</v>
      </c>
      <c r="CB133" s="537" t="str">
        <f t="shared" si="55"/>
        <v>Operations</v>
      </c>
      <c r="CC133" s="537" t="str">
        <f t="shared" si="55"/>
        <v>Operations</v>
      </c>
      <c r="CD133" s="537" t="str">
        <f t="shared" si="55"/>
        <v>Operations</v>
      </c>
      <c r="CE133" s="537" t="str">
        <f t="shared" si="55"/>
        <v>Operations</v>
      </c>
      <c r="CF133" s="537" t="str">
        <f t="shared" si="55"/>
        <v>Operations</v>
      </c>
      <c r="CG133" s="537" t="str">
        <f t="shared" si="55"/>
        <v>Operations</v>
      </c>
      <c r="CH133" s="537" t="str">
        <f t="shared" si="55"/>
        <v>Operations</v>
      </c>
      <c r="CI133" s="537" t="str">
        <f t="shared" si="55"/>
        <v>Operations</v>
      </c>
      <c r="CJ133" s="537" t="str">
        <f t="shared" si="55"/>
        <v>Operations</v>
      </c>
      <c r="CK133" s="537" t="str">
        <f t="shared" si="55"/>
        <v>Operations</v>
      </c>
      <c r="CL133" s="537" t="str">
        <f t="shared" si="55"/>
        <v>Operations</v>
      </c>
      <c r="CM133" s="537" t="str">
        <f t="shared" si="55"/>
        <v>Operations</v>
      </c>
      <c r="CN133" s="537" t="str">
        <f t="shared" si="55"/>
        <v>Operations</v>
      </c>
      <c r="CO133" s="537" t="str">
        <f t="shared" si="55"/>
        <v>Operations</v>
      </c>
      <c r="CP133" s="537" t="str">
        <f t="shared" si="55"/>
        <v>Operations</v>
      </c>
      <c r="CQ133" s="537" t="str">
        <f t="shared" si="55"/>
        <v>Operations</v>
      </c>
      <c r="CR133" s="537" t="str">
        <f t="shared" si="55"/>
        <v>Operations</v>
      </c>
      <c r="CS133" s="537" t="str">
        <f t="shared" si="55"/>
        <v>Operations</v>
      </c>
      <c r="CT133" s="537" t="str">
        <f t="shared" si="55"/>
        <v>Operations</v>
      </c>
      <c r="CU133" s="537" t="str">
        <f t="shared" si="55"/>
        <v>Operations</v>
      </c>
      <c r="CV133" s="537" t="str">
        <f t="shared" si="55"/>
        <v>Operations</v>
      </c>
      <c r="CW133" s="537" t="str">
        <f t="shared" si="55"/>
        <v>Operations</v>
      </c>
      <c r="CX133" s="537" t="str">
        <f t="shared" si="55"/>
        <v>Operations</v>
      </c>
      <c r="CY133" s="537" t="str">
        <f t="shared" si="55"/>
        <v>Operations</v>
      </c>
      <c r="CZ133" s="537" t="str">
        <f t="shared" si="55"/>
        <v>Operations</v>
      </c>
      <c r="DA133" s="537" t="str">
        <f t="shared" si="55"/>
        <v>Operations</v>
      </c>
      <c r="DB133" s="537" t="str">
        <f t="shared" si="55"/>
        <v>Operations</v>
      </c>
      <c r="DC133" s="537" t="str">
        <f t="shared" si="55"/>
        <v>Operations</v>
      </c>
      <c r="DD133" s="537" t="str">
        <f t="shared" si="55"/>
        <v>Operations</v>
      </c>
      <c r="DE133" s="537" t="str">
        <f t="shared" si="55"/>
        <v>Operations</v>
      </c>
      <c r="DF133" s="537" t="str">
        <f t="shared" si="55"/>
        <v>Operations</v>
      </c>
      <c r="DG133" s="537" t="str">
        <f t="shared" si="55"/>
        <v>Operations</v>
      </c>
      <c r="DH133" s="537" t="str">
        <f t="shared" si="55"/>
        <v>Operations</v>
      </c>
      <c r="DI133" s="537" t="str">
        <f t="shared" si="55"/>
        <v>Operations</v>
      </c>
      <c r="DJ133" s="537" t="str">
        <f t="shared" si="55"/>
        <v>Operations</v>
      </c>
      <c r="DK133" s="537" t="str">
        <f t="shared" si="55"/>
        <v>Operations</v>
      </c>
      <c r="DL133" s="537" t="str">
        <f t="shared" si="55"/>
        <v>Operations</v>
      </c>
      <c r="DM133" s="537" t="str">
        <f t="shared" si="55"/>
        <v>Operations</v>
      </c>
      <c r="DN133" s="537" t="str">
        <f t="shared" si="55"/>
        <v>Operations</v>
      </c>
      <c r="DO133" s="537" t="str">
        <f t="shared" si="55"/>
        <v>Operations</v>
      </c>
      <c r="DP133" s="537" t="str">
        <f t="shared" si="55"/>
        <v>Operations</v>
      </c>
      <c r="DQ133" s="537" t="str">
        <f t="shared" si="55"/>
        <v>Operations</v>
      </c>
      <c r="DR133" s="537" t="str">
        <f t="shared" si="55"/>
        <v>Operations</v>
      </c>
      <c r="DS133" s="537" t="str">
        <f t="shared" si="55"/>
        <v>Operations</v>
      </c>
      <c r="DT133" s="537" t="str">
        <f t="shared" si="55"/>
        <v>Operations</v>
      </c>
      <c r="DU133" s="537" t="str">
        <f t="shared" si="55"/>
        <v>Operations</v>
      </c>
      <c r="DV133" s="537" t="str">
        <f t="shared" si="55"/>
        <v>Operations</v>
      </c>
      <c r="DW133" s="537" t="str">
        <f t="shared" si="55"/>
        <v>Operations</v>
      </c>
      <c r="DX133" s="537" t="str">
        <f t="shared" si="55"/>
        <v>Operations</v>
      </c>
      <c r="DY133" s="537" t="str">
        <f t="shared" si="55"/>
        <v>Operations</v>
      </c>
      <c r="DZ133" s="537" t="str">
        <f t="shared" si="55"/>
        <v>Operations</v>
      </c>
      <c r="EA133" s="537" t="str">
        <f t="shared" si="55"/>
        <v>Operations</v>
      </c>
      <c r="EB133" s="537" t="str">
        <f t="shared" si="55"/>
        <v>Operations</v>
      </c>
      <c r="EC133" s="537" t="str">
        <f t="shared" si="55"/>
        <v>Operations</v>
      </c>
      <c r="ED133" s="537" t="str">
        <f t="shared" si="55"/>
        <v>Operations</v>
      </c>
      <c r="EE133" s="537" t="str">
        <f t="shared" si="55"/>
        <v>Operations</v>
      </c>
      <c r="EF133" s="537" t="str">
        <f t="shared" si="55"/>
        <v>Operations</v>
      </c>
      <c r="EG133" s="537" t="str">
        <f t="shared" si="55"/>
        <v>Operations</v>
      </c>
      <c r="EH133" s="537" t="str">
        <f t="shared" si="55"/>
        <v>Operations</v>
      </c>
      <c r="EI133" s="537" t="str">
        <f t="shared" si="55"/>
        <v>Operations</v>
      </c>
      <c r="EJ133" s="537" t="str">
        <f t="shared" si="55"/>
        <v>Post ops</v>
      </c>
      <c r="EK133" s="537" t="str">
        <f t="shared" si="55"/>
        <v>Post ops</v>
      </c>
      <c r="EL133" s="537" t="str">
        <f t="shared" si="55"/>
        <v>Post ops</v>
      </c>
      <c r="EM133" s="537" t="str">
        <f t="shared" si="55"/>
        <v>Post ops</v>
      </c>
      <c r="EN133" s="537" t="str">
        <f t="shared" si="55"/>
        <v>Post ops</v>
      </c>
      <c r="EO133" s="537" t="str">
        <f t="shared" si="55"/>
        <v>Post ops</v>
      </c>
      <c r="EP133" s="537" t="str">
        <f t="shared" si="55"/>
        <v>Post ops</v>
      </c>
      <c r="EQ133" s="537" t="str">
        <f t="shared" si="55"/>
        <v>Post ops</v>
      </c>
      <c r="ER133" s="537" t="str">
        <f t="shared" si="55"/>
        <v>Post ops</v>
      </c>
      <c r="ES133" s="537" t="str">
        <f t="shared" si="55"/>
        <v>Post ops</v>
      </c>
      <c r="ET133" s="537" t="str">
        <f t="shared" si="55"/>
        <v>Post ops</v>
      </c>
      <c r="EU133" s="537" t="str">
        <f t="shared" si="55"/>
        <v>Post ops</v>
      </c>
      <c r="EV133" s="537" t="str">
        <f t="shared" si="55"/>
        <v>Post ops</v>
      </c>
      <c r="EW133" s="537" t="str">
        <f t="shared" si="55"/>
        <v>Post ops</v>
      </c>
      <c r="EX133" s="537" t="str">
        <f t="shared" si="55"/>
        <v>Post ops</v>
      </c>
      <c r="EY133" s="537" t="str">
        <f t="shared" si="55"/>
        <v>Post ops</v>
      </c>
      <c r="EZ133" s="537" t="str">
        <f t="shared" si="55"/>
        <v>Post ops</v>
      </c>
      <c r="FA133" s="537" t="str">
        <f t="shared" si="55"/>
        <v>Post ops</v>
      </c>
      <c r="FB133" s="537" t="str">
        <f t="shared" si="55"/>
        <v>Post ops</v>
      </c>
      <c r="FC133" s="537" t="str">
        <f t="shared" si="55"/>
        <v>Post ops</v>
      </c>
      <c r="FD133" s="537" t="str">
        <f t="shared" si="55"/>
        <v>Post ops</v>
      </c>
      <c r="FE133" s="537" t="str">
        <f t="shared" si="55"/>
        <v>Post ops</v>
      </c>
      <c r="FF133" s="537" t="str">
        <f t="shared" si="55"/>
        <v>Post ops</v>
      </c>
      <c r="FG133" s="537" t="str">
        <f t="shared" si="55"/>
        <v>Post ops</v>
      </c>
      <c r="FH133" s="537" t="str">
        <f t="shared" si="55"/>
        <v>Post ops</v>
      </c>
      <c r="FI133" s="537" t="str">
        <f t="shared" si="55"/>
        <v>Post ops</v>
      </c>
      <c r="FJ133" s="537" t="str">
        <f t="shared" si="55"/>
        <v>Post ops</v>
      </c>
      <c r="FK133" s="537" t="str">
        <f t="shared" si="55"/>
        <v>Post ops</v>
      </c>
      <c r="FL133" s="537" t="str">
        <f t="shared" si="55"/>
        <v>Post ops</v>
      </c>
      <c r="FM133" s="537" t="str">
        <f t="shared" si="55"/>
        <v>Post ops</v>
      </c>
      <c r="FN133" s="537" t="str">
        <f t="shared" si="55"/>
        <v>Post ops</v>
      </c>
      <c r="FO133" s="537" t="str">
        <f t="shared" si="55"/>
        <v>Post ops</v>
      </c>
      <c r="FP133" s="537" t="str">
        <f t="shared" si="55"/>
        <v>Post ops</v>
      </c>
      <c r="FQ133" s="537" t="str">
        <f t="shared" si="55"/>
        <v>Post ops</v>
      </c>
      <c r="FR133" s="537" t="str">
        <f t="shared" si="55"/>
        <v>Post ops</v>
      </c>
      <c r="FS133" s="537" t="str">
        <f t="shared" si="55"/>
        <v>Post ops</v>
      </c>
      <c r="FT133" s="537" t="str">
        <f t="shared" si="55"/>
        <v>Post ops</v>
      </c>
      <c r="FU133" s="537" t="str">
        <f t="shared" si="55"/>
        <v>Post ops</v>
      </c>
      <c r="FV133" s="537" t="str">
        <f t="shared" si="55"/>
        <v>Post ops</v>
      </c>
      <c r="FW133" s="537" t="str">
        <f t="shared" si="55"/>
        <v>Post ops</v>
      </c>
      <c r="FX133" s="537" t="str">
        <f t="shared" si="55"/>
        <v>Post ops</v>
      </c>
      <c r="FY133" s="537" t="str">
        <f t="shared" si="55"/>
        <v>Post ops</v>
      </c>
      <c r="FZ133" s="537" t="str">
        <f t="shared" si="55"/>
        <v>Post ops</v>
      </c>
      <c r="GA133" s="537" t="str">
        <f t="shared" si="55"/>
        <v>Post ops</v>
      </c>
      <c r="GB133" s="537" t="str">
        <f t="shared" si="55"/>
        <v>Post ops</v>
      </c>
      <c r="GC133" s="537" t="str">
        <f t="shared" si="55"/>
        <v>Post ops</v>
      </c>
      <c r="GD133" s="537" t="str">
        <f t="shared" si="55"/>
        <v>Post ops</v>
      </c>
      <c r="GE133" s="537" t="str">
        <f t="shared" si="55"/>
        <v>Post ops</v>
      </c>
      <c r="GF133" s="537" t="str">
        <f t="shared" si="55"/>
        <v>Post ops</v>
      </c>
      <c r="GG133" s="537" t="str">
        <f t="shared" si="55"/>
        <v>Post ops</v>
      </c>
      <c r="GH133" s="537" t="str">
        <f t="shared" si="55"/>
        <v>Post ops</v>
      </c>
      <c r="GI133" s="537" t="str">
        <f t="shared" si="55"/>
        <v>Post ops</v>
      </c>
      <c r="GJ133" s="537" t="str">
        <f t="shared" si="55"/>
        <v>Post ops</v>
      </c>
    </row>
    <row r="136" spans="1:1" ht="12.75">
      <c r="A136" s="534" t="s">
        <v>76</v>
      </c>
    </row>
    <row r="138" spans="2:2" ht="12.75">
      <c r="B138" s="534" t="s">
        <v>77</v>
      </c>
    </row>
    <row r="139" spans="5:192" ht="12.75">
      <c r="E139" s="535" t="str">
        <f>E$91</f>
        <v>Operating period flag</v>
      </c>
      <c r="G139" s="537" t="str">
        <f>G$91</f>
        <v>flag</v>
      </c>
      <c r="H139" s="537">
        <f>H$91</f>
        <v>100</v>
      </c>
      <c r="J139" s="537">
        <f t="shared" si="56" ref="J139:GJ139">J$91</f>
        <v>0</v>
      </c>
      <c r="K139" s="537">
        <f t="shared" si="56"/>
        <v>0</v>
      </c>
      <c r="L139" s="537">
        <f t="shared" si="56"/>
        <v>0</v>
      </c>
      <c r="M139" s="537">
        <f t="shared" si="56"/>
        <v>0</v>
      </c>
      <c r="N139" s="537">
        <f t="shared" si="56"/>
        <v>0</v>
      </c>
      <c r="O139" s="537">
        <f t="shared" si="56"/>
        <v>0</v>
      </c>
      <c r="P139" s="537">
        <f t="shared" si="56"/>
        <v>0</v>
      </c>
      <c r="Q139" s="537">
        <f t="shared" si="56"/>
        <v>0</v>
      </c>
      <c r="R139" s="537">
        <f t="shared" si="56"/>
        <v>0</v>
      </c>
      <c r="S139" s="537">
        <f t="shared" si="56"/>
        <v>0</v>
      </c>
      <c r="T139" s="537">
        <f t="shared" si="56"/>
        <v>0</v>
      </c>
      <c r="U139" s="537">
        <f t="shared" si="56"/>
        <v>0</v>
      </c>
      <c r="V139" s="537">
        <f t="shared" si="56"/>
        <v>0</v>
      </c>
      <c r="W139" s="537">
        <f t="shared" si="56"/>
        <v>0</v>
      </c>
      <c r="X139" s="537">
        <f t="shared" si="56"/>
        <v>0</v>
      </c>
      <c r="Y139" s="537">
        <f t="shared" si="56"/>
        <v>0</v>
      </c>
      <c r="Z139" s="537">
        <f t="shared" si="56"/>
        <v>0</v>
      </c>
      <c r="AA139" s="537">
        <f t="shared" si="56"/>
        <v>0</v>
      </c>
      <c r="AB139" s="537">
        <f t="shared" si="56"/>
        <v>0</v>
      </c>
      <c r="AC139" s="537">
        <f t="shared" si="56"/>
        <v>0</v>
      </c>
      <c r="AD139" s="537">
        <f t="shared" si="56"/>
        <v>0</v>
      </c>
      <c r="AE139" s="537">
        <f t="shared" si="56"/>
        <v>0</v>
      </c>
      <c r="AF139" s="537">
        <f t="shared" si="56"/>
        <v>0</v>
      </c>
      <c r="AG139" s="537">
        <f t="shared" si="56"/>
        <v>0</v>
      </c>
      <c r="AH139" s="537">
        <f t="shared" si="56"/>
        <v>0</v>
      </c>
      <c r="AI139" s="537">
        <f t="shared" si="56"/>
        <v>0</v>
      </c>
      <c r="AJ139" s="537">
        <f t="shared" si="56"/>
        <v>0</v>
      </c>
      <c r="AK139" s="537">
        <f t="shared" si="56"/>
        <v>0</v>
      </c>
      <c r="AL139" s="537">
        <f t="shared" si="56"/>
        <v>0</v>
      </c>
      <c r="AM139" s="537">
        <f t="shared" si="56"/>
        <v>0</v>
      </c>
      <c r="AN139" s="537">
        <f t="shared" si="56"/>
        <v>1</v>
      </c>
      <c r="AO139" s="537">
        <f t="shared" si="56"/>
        <v>1</v>
      </c>
      <c r="AP139" s="537">
        <f t="shared" si="56"/>
        <v>1</v>
      </c>
      <c r="AQ139" s="537">
        <f t="shared" si="56"/>
        <v>1</v>
      </c>
      <c r="AR139" s="537">
        <f t="shared" si="56"/>
        <v>1</v>
      </c>
      <c r="AS139" s="537">
        <f t="shared" si="56"/>
        <v>1</v>
      </c>
      <c r="AT139" s="537">
        <f t="shared" si="56"/>
        <v>1</v>
      </c>
      <c r="AU139" s="537">
        <f t="shared" si="56"/>
        <v>1</v>
      </c>
      <c r="AV139" s="537">
        <f t="shared" si="56"/>
        <v>1</v>
      </c>
      <c r="AW139" s="537">
        <f t="shared" si="56"/>
        <v>1</v>
      </c>
      <c r="AX139" s="537">
        <f t="shared" si="56"/>
        <v>1</v>
      </c>
      <c r="AY139" s="537">
        <f t="shared" si="56"/>
        <v>1</v>
      </c>
      <c r="AZ139" s="537">
        <f t="shared" si="56"/>
        <v>1</v>
      </c>
      <c r="BA139" s="537">
        <f t="shared" si="56"/>
        <v>1</v>
      </c>
      <c r="BB139" s="537">
        <f t="shared" si="56"/>
        <v>1</v>
      </c>
      <c r="BC139" s="537">
        <f t="shared" si="56"/>
        <v>1</v>
      </c>
      <c r="BD139" s="537">
        <f t="shared" si="56"/>
        <v>1</v>
      </c>
      <c r="BE139" s="537">
        <f t="shared" si="56"/>
        <v>1</v>
      </c>
      <c r="BF139" s="537">
        <f t="shared" si="56"/>
        <v>1</v>
      </c>
      <c r="BG139" s="537">
        <f t="shared" si="56"/>
        <v>1</v>
      </c>
      <c r="BH139" s="537">
        <f t="shared" si="56"/>
        <v>1</v>
      </c>
      <c r="BI139" s="537">
        <f t="shared" si="56"/>
        <v>1</v>
      </c>
      <c r="BJ139" s="537">
        <f t="shared" si="56"/>
        <v>1</v>
      </c>
      <c r="BK139" s="537">
        <f t="shared" si="56"/>
        <v>1</v>
      </c>
      <c r="BL139" s="537">
        <f t="shared" si="56"/>
        <v>1</v>
      </c>
      <c r="BM139" s="537">
        <f t="shared" si="56"/>
        <v>1</v>
      </c>
      <c r="BN139" s="537">
        <f t="shared" si="56"/>
        <v>1</v>
      </c>
      <c r="BO139" s="537">
        <f t="shared" si="56"/>
        <v>1</v>
      </c>
      <c r="BP139" s="537">
        <f t="shared" si="56"/>
        <v>1</v>
      </c>
      <c r="BQ139" s="537">
        <f t="shared" si="56"/>
        <v>1</v>
      </c>
      <c r="BR139" s="537">
        <f t="shared" si="56"/>
        <v>1</v>
      </c>
      <c r="BS139" s="537">
        <f t="shared" si="56"/>
        <v>1</v>
      </c>
      <c r="BT139" s="537">
        <f t="shared" si="56"/>
        <v>1</v>
      </c>
      <c r="BU139" s="537">
        <f t="shared" si="56"/>
        <v>1</v>
      </c>
      <c r="BV139" s="537">
        <f t="shared" si="56"/>
        <v>1</v>
      </c>
      <c r="BW139" s="537">
        <f t="shared" si="56"/>
        <v>1</v>
      </c>
      <c r="BX139" s="537">
        <f t="shared" si="56"/>
        <v>1</v>
      </c>
      <c r="BY139" s="537">
        <f t="shared" si="56"/>
        <v>1</v>
      </c>
      <c r="BZ139" s="537">
        <f t="shared" si="56"/>
        <v>1</v>
      </c>
      <c r="CA139" s="537">
        <f t="shared" si="56"/>
        <v>1</v>
      </c>
      <c r="CB139" s="537">
        <f t="shared" si="56"/>
        <v>1</v>
      </c>
      <c r="CC139" s="537">
        <f t="shared" si="56"/>
        <v>1</v>
      </c>
      <c r="CD139" s="537">
        <f t="shared" si="56"/>
        <v>1</v>
      </c>
      <c r="CE139" s="537">
        <f t="shared" si="56"/>
        <v>1</v>
      </c>
      <c r="CF139" s="537">
        <f t="shared" si="56"/>
        <v>1</v>
      </c>
      <c r="CG139" s="537">
        <f t="shared" si="56"/>
        <v>1</v>
      </c>
      <c r="CH139" s="537">
        <f t="shared" si="56"/>
        <v>1</v>
      </c>
      <c r="CI139" s="537">
        <f t="shared" si="56"/>
        <v>1</v>
      </c>
      <c r="CJ139" s="537">
        <f t="shared" si="56"/>
        <v>1</v>
      </c>
      <c r="CK139" s="537">
        <f t="shared" si="56"/>
        <v>1</v>
      </c>
      <c r="CL139" s="537">
        <f t="shared" si="56"/>
        <v>1</v>
      </c>
      <c r="CM139" s="537">
        <f t="shared" si="56"/>
        <v>1</v>
      </c>
      <c r="CN139" s="537">
        <f t="shared" si="56"/>
        <v>1</v>
      </c>
      <c r="CO139" s="537">
        <f t="shared" si="56"/>
        <v>1</v>
      </c>
      <c r="CP139" s="537">
        <f t="shared" si="56"/>
        <v>1</v>
      </c>
      <c r="CQ139" s="537">
        <f t="shared" si="56"/>
        <v>1</v>
      </c>
      <c r="CR139" s="537">
        <f t="shared" si="56"/>
        <v>1</v>
      </c>
      <c r="CS139" s="537">
        <f t="shared" si="56"/>
        <v>1</v>
      </c>
      <c r="CT139" s="537">
        <f t="shared" si="56"/>
        <v>1</v>
      </c>
      <c r="CU139" s="537">
        <f t="shared" si="56"/>
        <v>1</v>
      </c>
      <c r="CV139" s="537">
        <f t="shared" si="56"/>
        <v>1</v>
      </c>
      <c r="CW139" s="537">
        <f t="shared" si="56"/>
        <v>1</v>
      </c>
      <c r="CX139" s="537">
        <f t="shared" si="56"/>
        <v>1</v>
      </c>
      <c r="CY139" s="537">
        <f t="shared" si="56"/>
        <v>1</v>
      </c>
      <c r="CZ139" s="537">
        <f t="shared" si="56"/>
        <v>1</v>
      </c>
      <c r="DA139" s="537">
        <f t="shared" si="56"/>
        <v>1</v>
      </c>
      <c r="DB139" s="537">
        <f t="shared" si="56"/>
        <v>1</v>
      </c>
      <c r="DC139" s="537">
        <f t="shared" si="56"/>
        <v>1</v>
      </c>
      <c r="DD139" s="537">
        <f t="shared" si="56"/>
        <v>1</v>
      </c>
      <c r="DE139" s="537">
        <f t="shared" si="56"/>
        <v>1</v>
      </c>
      <c r="DF139" s="537">
        <f t="shared" si="56"/>
        <v>1</v>
      </c>
      <c r="DG139" s="537">
        <f t="shared" si="56"/>
        <v>1</v>
      </c>
      <c r="DH139" s="537">
        <f t="shared" si="56"/>
        <v>1</v>
      </c>
      <c r="DI139" s="537">
        <f t="shared" si="56"/>
        <v>1</v>
      </c>
      <c r="DJ139" s="537">
        <f t="shared" si="56"/>
        <v>1</v>
      </c>
      <c r="DK139" s="537">
        <f t="shared" si="56"/>
        <v>1</v>
      </c>
      <c r="DL139" s="537">
        <f t="shared" si="56"/>
        <v>1</v>
      </c>
      <c r="DM139" s="537">
        <f t="shared" si="56"/>
        <v>1</v>
      </c>
      <c r="DN139" s="537">
        <f t="shared" si="56"/>
        <v>1</v>
      </c>
      <c r="DO139" s="537">
        <f t="shared" si="56"/>
        <v>1</v>
      </c>
      <c r="DP139" s="537">
        <f t="shared" si="56"/>
        <v>1</v>
      </c>
      <c r="DQ139" s="537">
        <f t="shared" si="56"/>
        <v>1</v>
      </c>
      <c r="DR139" s="537">
        <f t="shared" si="56"/>
        <v>1</v>
      </c>
      <c r="DS139" s="537">
        <f t="shared" si="56"/>
        <v>1</v>
      </c>
      <c r="DT139" s="537">
        <f t="shared" si="56"/>
        <v>1</v>
      </c>
      <c r="DU139" s="537">
        <f t="shared" si="56"/>
        <v>1</v>
      </c>
      <c r="DV139" s="537">
        <f t="shared" si="56"/>
        <v>1</v>
      </c>
      <c r="DW139" s="537">
        <f t="shared" si="56"/>
        <v>1</v>
      </c>
      <c r="DX139" s="537">
        <f t="shared" si="56"/>
        <v>1</v>
      </c>
      <c r="DY139" s="537">
        <f t="shared" si="56"/>
        <v>1</v>
      </c>
      <c r="DZ139" s="537">
        <f t="shared" si="56"/>
        <v>1</v>
      </c>
      <c r="EA139" s="537">
        <f t="shared" si="56"/>
        <v>1</v>
      </c>
      <c r="EB139" s="537">
        <f t="shared" si="56"/>
        <v>1</v>
      </c>
      <c r="EC139" s="537">
        <f t="shared" si="56"/>
        <v>1</v>
      </c>
      <c r="ED139" s="537">
        <f t="shared" si="56"/>
        <v>1</v>
      </c>
      <c r="EE139" s="537">
        <f t="shared" si="56"/>
        <v>1</v>
      </c>
      <c r="EF139" s="537">
        <f t="shared" si="56"/>
        <v>1</v>
      </c>
      <c r="EG139" s="537">
        <f t="shared" si="56"/>
        <v>1</v>
      </c>
      <c r="EH139" s="537">
        <f t="shared" si="56"/>
        <v>1</v>
      </c>
      <c r="EI139" s="537">
        <f t="shared" si="56"/>
        <v>1</v>
      </c>
      <c r="EJ139" s="537">
        <f t="shared" si="56"/>
        <v>0</v>
      </c>
      <c r="EK139" s="537">
        <f t="shared" si="56"/>
        <v>0</v>
      </c>
      <c r="EL139" s="537">
        <f t="shared" si="56"/>
        <v>0</v>
      </c>
      <c r="EM139" s="537">
        <f t="shared" si="56"/>
        <v>0</v>
      </c>
      <c r="EN139" s="537">
        <f t="shared" si="56"/>
        <v>0</v>
      </c>
      <c r="EO139" s="537">
        <f t="shared" si="56"/>
        <v>0</v>
      </c>
      <c r="EP139" s="537">
        <f t="shared" si="56"/>
        <v>0</v>
      </c>
      <c r="EQ139" s="537">
        <f t="shared" si="56"/>
        <v>0</v>
      </c>
      <c r="ER139" s="537">
        <f t="shared" si="56"/>
        <v>0</v>
      </c>
      <c r="ES139" s="537">
        <f t="shared" si="56"/>
        <v>0</v>
      </c>
      <c r="ET139" s="537">
        <f t="shared" si="56"/>
        <v>0</v>
      </c>
      <c r="EU139" s="537">
        <f t="shared" si="56"/>
        <v>0</v>
      </c>
      <c r="EV139" s="537">
        <f t="shared" si="56"/>
        <v>0</v>
      </c>
      <c r="EW139" s="537">
        <f t="shared" si="56"/>
        <v>0</v>
      </c>
      <c r="EX139" s="537">
        <f t="shared" si="56"/>
        <v>0</v>
      </c>
      <c r="EY139" s="537">
        <f t="shared" si="56"/>
        <v>0</v>
      </c>
      <c r="EZ139" s="537">
        <f t="shared" si="56"/>
        <v>0</v>
      </c>
      <c r="FA139" s="537">
        <f t="shared" si="56"/>
        <v>0</v>
      </c>
      <c r="FB139" s="537">
        <f t="shared" si="56"/>
        <v>0</v>
      </c>
      <c r="FC139" s="537">
        <f t="shared" si="56"/>
        <v>0</v>
      </c>
      <c r="FD139" s="537">
        <f t="shared" si="56"/>
        <v>0</v>
      </c>
      <c r="FE139" s="537">
        <f t="shared" si="56"/>
        <v>0</v>
      </c>
      <c r="FF139" s="537">
        <f t="shared" si="56"/>
        <v>0</v>
      </c>
      <c r="FG139" s="537">
        <f t="shared" si="56"/>
        <v>0</v>
      </c>
      <c r="FH139" s="537">
        <f t="shared" si="56"/>
        <v>0</v>
      </c>
      <c r="FI139" s="537">
        <f t="shared" si="56"/>
        <v>0</v>
      </c>
      <c r="FJ139" s="537">
        <f t="shared" si="56"/>
        <v>0</v>
      </c>
      <c r="FK139" s="537">
        <f t="shared" si="56"/>
        <v>0</v>
      </c>
      <c r="FL139" s="537">
        <f t="shared" si="56"/>
        <v>0</v>
      </c>
      <c r="FM139" s="537">
        <f t="shared" si="56"/>
        <v>0</v>
      </c>
      <c r="FN139" s="537">
        <f t="shared" si="56"/>
        <v>0</v>
      </c>
      <c r="FO139" s="537">
        <f t="shared" si="56"/>
        <v>0</v>
      </c>
      <c r="FP139" s="537">
        <f t="shared" si="56"/>
        <v>0</v>
      </c>
      <c r="FQ139" s="537">
        <f t="shared" si="56"/>
        <v>0</v>
      </c>
      <c r="FR139" s="537">
        <f t="shared" si="56"/>
        <v>0</v>
      </c>
      <c r="FS139" s="537">
        <f t="shared" si="56"/>
        <v>0</v>
      </c>
      <c r="FT139" s="537">
        <f t="shared" si="56"/>
        <v>0</v>
      </c>
      <c r="FU139" s="537">
        <f t="shared" si="56"/>
        <v>0</v>
      </c>
      <c r="FV139" s="537">
        <f t="shared" si="56"/>
        <v>0</v>
      </c>
      <c r="FW139" s="537">
        <f t="shared" si="56"/>
        <v>0</v>
      </c>
      <c r="FX139" s="537">
        <f t="shared" si="56"/>
        <v>0</v>
      </c>
      <c r="FY139" s="537">
        <f t="shared" si="56"/>
        <v>0</v>
      </c>
      <c r="FZ139" s="537">
        <f t="shared" si="56"/>
        <v>0</v>
      </c>
      <c r="GA139" s="537">
        <f t="shared" si="56"/>
        <v>0</v>
      </c>
      <c r="GB139" s="537">
        <f t="shared" si="56"/>
        <v>0</v>
      </c>
      <c r="GC139" s="537">
        <f t="shared" si="56"/>
        <v>0</v>
      </c>
      <c r="GD139" s="537">
        <f t="shared" si="56"/>
        <v>0</v>
      </c>
      <c r="GE139" s="537">
        <f t="shared" si="56"/>
        <v>0</v>
      </c>
      <c r="GF139" s="537">
        <f t="shared" si="56"/>
        <v>0</v>
      </c>
      <c r="GG139" s="537">
        <f t="shared" si="56"/>
        <v>0</v>
      </c>
      <c r="GH139" s="537">
        <f t="shared" si="56"/>
        <v>0</v>
      </c>
      <c r="GI139" s="537">
        <f t="shared" si="56"/>
        <v>0</v>
      </c>
      <c r="GJ139" s="537">
        <f t="shared" si="56"/>
        <v>0</v>
      </c>
    </row>
    <row r="140" spans="5:192" ht="12.75">
      <c r="E140" s="535" t="s">
        <v>78</v>
      </c>
      <c r="G140" s="537" t="s">
        <v>46</v>
      </c>
      <c r="H140" s="537">
        <f>SUM(J140:GJ140)</f>
        <v>10350</v>
      </c>
      <c r="J140" s="537">
        <f t="shared" si="57" ref="J140:GJ140">I140+J139</f>
        <v>0</v>
      </c>
      <c r="K140" s="537">
        <f t="shared" si="57"/>
        <v>0</v>
      </c>
      <c r="L140" s="537">
        <f t="shared" si="57"/>
        <v>0</v>
      </c>
      <c r="M140" s="537">
        <f t="shared" si="57"/>
        <v>0</v>
      </c>
      <c r="N140" s="537">
        <f t="shared" si="57"/>
        <v>0</v>
      </c>
      <c r="O140" s="537">
        <f t="shared" si="57"/>
        <v>0</v>
      </c>
      <c r="P140" s="537">
        <f t="shared" si="57"/>
        <v>0</v>
      </c>
      <c r="Q140" s="537">
        <f t="shared" si="57"/>
        <v>0</v>
      </c>
      <c r="R140" s="537">
        <f t="shared" si="57"/>
        <v>0</v>
      </c>
      <c r="S140" s="537">
        <f t="shared" si="57"/>
        <v>0</v>
      </c>
      <c r="T140" s="537">
        <f t="shared" si="57"/>
        <v>0</v>
      </c>
      <c r="U140" s="537">
        <f t="shared" si="57"/>
        <v>0</v>
      </c>
      <c r="V140" s="537">
        <f t="shared" si="57"/>
        <v>0</v>
      </c>
      <c r="W140" s="537">
        <f t="shared" si="57"/>
        <v>0</v>
      </c>
      <c r="X140" s="537">
        <f t="shared" si="57"/>
        <v>0</v>
      </c>
      <c r="Y140" s="537">
        <f t="shared" si="57"/>
        <v>0</v>
      </c>
      <c r="Z140" s="537">
        <f t="shared" si="57"/>
        <v>0</v>
      </c>
      <c r="AA140" s="537">
        <f t="shared" si="57"/>
        <v>0</v>
      </c>
      <c r="AB140" s="537">
        <f t="shared" si="57"/>
        <v>0</v>
      </c>
      <c r="AC140" s="537">
        <f t="shared" si="57"/>
        <v>0</v>
      </c>
      <c r="AD140" s="537">
        <f t="shared" si="57"/>
        <v>0</v>
      </c>
      <c r="AE140" s="537">
        <f t="shared" si="57"/>
        <v>0</v>
      </c>
      <c r="AF140" s="537">
        <f t="shared" si="57"/>
        <v>0</v>
      </c>
      <c r="AG140" s="537">
        <f t="shared" si="57"/>
        <v>0</v>
      </c>
      <c r="AH140" s="537">
        <f t="shared" si="57"/>
        <v>0</v>
      </c>
      <c r="AI140" s="537">
        <f t="shared" si="57"/>
        <v>0</v>
      </c>
      <c r="AJ140" s="537">
        <f t="shared" si="57"/>
        <v>0</v>
      </c>
      <c r="AK140" s="537">
        <f t="shared" si="57"/>
        <v>0</v>
      </c>
      <c r="AL140" s="537">
        <f t="shared" si="57"/>
        <v>0</v>
      </c>
      <c r="AM140" s="537">
        <f t="shared" si="57"/>
        <v>0</v>
      </c>
      <c r="AN140" s="537">
        <f t="shared" si="57"/>
        <v>1</v>
      </c>
      <c r="AO140" s="537">
        <f t="shared" si="57"/>
        <v>2</v>
      </c>
      <c r="AP140" s="537">
        <f t="shared" si="57"/>
        <v>3</v>
      </c>
      <c r="AQ140" s="537">
        <f t="shared" si="57"/>
        <v>4</v>
      </c>
      <c r="AR140" s="537">
        <f t="shared" si="57"/>
        <v>5</v>
      </c>
      <c r="AS140" s="537">
        <f t="shared" si="57"/>
        <v>6</v>
      </c>
      <c r="AT140" s="537">
        <f t="shared" si="57"/>
        <v>7</v>
      </c>
      <c r="AU140" s="537">
        <f t="shared" si="57"/>
        <v>8</v>
      </c>
      <c r="AV140" s="537">
        <f t="shared" si="57"/>
        <v>9</v>
      </c>
      <c r="AW140" s="537">
        <f t="shared" si="57"/>
        <v>10</v>
      </c>
      <c r="AX140" s="537">
        <f t="shared" si="57"/>
        <v>11</v>
      </c>
      <c r="AY140" s="537">
        <f t="shared" si="57"/>
        <v>12</v>
      </c>
      <c r="AZ140" s="537">
        <f t="shared" si="57"/>
        <v>13</v>
      </c>
      <c r="BA140" s="537">
        <f t="shared" si="57"/>
        <v>14</v>
      </c>
      <c r="BB140" s="537">
        <f t="shared" si="57"/>
        <v>15</v>
      </c>
      <c r="BC140" s="537">
        <f t="shared" si="57"/>
        <v>16</v>
      </c>
      <c r="BD140" s="537">
        <f t="shared" si="57"/>
        <v>17</v>
      </c>
      <c r="BE140" s="537">
        <f t="shared" si="57"/>
        <v>18</v>
      </c>
      <c r="BF140" s="537">
        <f t="shared" si="57"/>
        <v>19</v>
      </c>
      <c r="BG140" s="537">
        <f t="shared" si="57"/>
        <v>20</v>
      </c>
      <c r="BH140" s="537">
        <f t="shared" si="57"/>
        <v>21</v>
      </c>
      <c r="BI140" s="537">
        <f t="shared" si="57"/>
        <v>22</v>
      </c>
      <c r="BJ140" s="537">
        <f t="shared" si="57"/>
        <v>23</v>
      </c>
      <c r="BK140" s="537">
        <f t="shared" si="57"/>
        <v>24</v>
      </c>
      <c r="BL140" s="537">
        <f t="shared" si="57"/>
        <v>25</v>
      </c>
      <c r="BM140" s="537">
        <f t="shared" si="57"/>
        <v>26</v>
      </c>
      <c r="BN140" s="537">
        <f t="shared" si="57"/>
        <v>27</v>
      </c>
      <c r="BO140" s="537">
        <f t="shared" si="57"/>
        <v>28</v>
      </c>
      <c r="BP140" s="537">
        <f t="shared" si="57"/>
        <v>29</v>
      </c>
      <c r="BQ140" s="537">
        <f t="shared" si="57"/>
        <v>30</v>
      </c>
      <c r="BR140" s="537">
        <f t="shared" si="57"/>
        <v>31</v>
      </c>
      <c r="BS140" s="537">
        <f t="shared" si="57"/>
        <v>32</v>
      </c>
      <c r="BT140" s="537">
        <f t="shared" si="57"/>
        <v>33</v>
      </c>
      <c r="BU140" s="537">
        <f t="shared" si="57"/>
        <v>34</v>
      </c>
      <c r="BV140" s="537">
        <f t="shared" si="57"/>
        <v>35</v>
      </c>
      <c r="BW140" s="537">
        <f t="shared" si="57"/>
        <v>36</v>
      </c>
      <c r="BX140" s="537">
        <f t="shared" si="57"/>
        <v>37</v>
      </c>
      <c r="BY140" s="537">
        <f t="shared" si="57"/>
        <v>38</v>
      </c>
      <c r="BZ140" s="537">
        <f t="shared" si="57"/>
        <v>39</v>
      </c>
      <c r="CA140" s="537">
        <f t="shared" si="57"/>
        <v>40</v>
      </c>
      <c r="CB140" s="537">
        <f t="shared" si="57"/>
        <v>41</v>
      </c>
      <c r="CC140" s="537">
        <f t="shared" si="57"/>
        <v>42</v>
      </c>
      <c r="CD140" s="537">
        <f t="shared" si="57"/>
        <v>43</v>
      </c>
      <c r="CE140" s="537">
        <f t="shared" si="57"/>
        <v>44</v>
      </c>
      <c r="CF140" s="537">
        <f t="shared" si="57"/>
        <v>45</v>
      </c>
      <c r="CG140" s="537">
        <f t="shared" si="57"/>
        <v>46</v>
      </c>
      <c r="CH140" s="537">
        <f t="shared" si="57"/>
        <v>47</v>
      </c>
      <c r="CI140" s="537">
        <f t="shared" si="57"/>
        <v>48</v>
      </c>
      <c r="CJ140" s="537">
        <f t="shared" si="57"/>
        <v>49</v>
      </c>
      <c r="CK140" s="537">
        <f t="shared" si="57"/>
        <v>50</v>
      </c>
      <c r="CL140" s="537">
        <f t="shared" si="57"/>
        <v>51</v>
      </c>
      <c r="CM140" s="537">
        <f t="shared" si="57"/>
        <v>52</v>
      </c>
      <c r="CN140" s="537">
        <f t="shared" si="57"/>
        <v>53</v>
      </c>
      <c r="CO140" s="537">
        <f t="shared" si="57"/>
        <v>54</v>
      </c>
      <c r="CP140" s="537">
        <f t="shared" si="57"/>
        <v>55</v>
      </c>
      <c r="CQ140" s="537">
        <f t="shared" si="57"/>
        <v>56</v>
      </c>
      <c r="CR140" s="537">
        <f t="shared" si="57"/>
        <v>57</v>
      </c>
      <c r="CS140" s="537">
        <f t="shared" si="57"/>
        <v>58</v>
      </c>
      <c r="CT140" s="537">
        <f t="shared" si="57"/>
        <v>59</v>
      </c>
      <c r="CU140" s="537">
        <f t="shared" si="57"/>
        <v>60</v>
      </c>
      <c r="CV140" s="537">
        <f t="shared" si="57"/>
        <v>61</v>
      </c>
      <c r="CW140" s="537">
        <f t="shared" si="57"/>
        <v>62</v>
      </c>
      <c r="CX140" s="537">
        <f t="shared" si="57"/>
        <v>63</v>
      </c>
      <c r="CY140" s="537">
        <f t="shared" si="57"/>
        <v>64</v>
      </c>
      <c r="CZ140" s="537">
        <f t="shared" si="57"/>
        <v>65</v>
      </c>
      <c r="DA140" s="537">
        <f t="shared" si="57"/>
        <v>66</v>
      </c>
      <c r="DB140" s="537">
        <f t="shared" si="57"/>
        <v>67</v>
      </c>
      <c r="DC140" s="537">
        <f t="shared" si="57"/>
        <v>68</v>
      </c>
      <c r="DD140" s="537">
        <f t="shared" si="57"/>
        <v>69</v>
      </c>
      <c r="DE140" s="537">
        <f t="shared" si="57"/>
        <v>70</v>
      </c>
      <c r="DF140" s="537">
        <f t="shared" si="57"/>
        <v>71</v>
      </c>
      <c r="DG140" s="537">
        <f t="shared" si="57"/>
        <v>72</v>
      </c>
      <c r="DH140" s="537">
        <f t="shared" si="57"/>
        <v>73</v>
      </c>
      <c r="DI140" s="537">
        <f t="shared" si="57"/>
        <v>74</v>
      </c>
      <c r="DJ140" s="537">
        <f t="shared" si="57"/>
        <v>75</v>
      </c>
      <c r="DK140" s="537">
        <f t="shared" si="57"/>
        <v>76</v>
      </c>
      <c r="DL140" s="537">
        <f t="shared" si="57"/>
        <v>77</v>
      </c>
      <c r="DM140" s="537">
        <f t="shared" si="57"/>
        <v>78</v>
      </c>
      <c r="DN140" s="537">
        <f t="shared" si="57"/>
        <v>79</v>
      </c>
      <c r="DO140" s="537">
        <f t="shared" si="57"/>
        <v>80</v>
      </c>
      <c r="DP140" s="537">
        <f t="shared" si="57"/>
        <v>81</v>
      </c>
      <c r="DQ140" s="537">
        <f t="shared" si="57"/>
        <v>82</v>
      </c>
      <c r="DR140" s="537">
        <f t="shared" si="57"/>
        <v>83</v>
      </c>
      <c r="DS140" s="537">
        <f t="shared" si="57"/>
        <v>84</v>
      </c>
      <c r="DT140" s="537">
        <f t="shared" si="57"/>
        <v>85</v>
      </c>
      <c r="DU140" s="537">
        <f t="shared" si="57"/>
        <v>86</v>
      </c>
      <c r="DV140" s="537">
        <f t="shared" si="57"/>
        <v>87</v>
      </c>
      <c r="DW140" s="537">
        <f t="shared" si="57"/>
        <v>88</v>
      </c>
      <c r="DX140" s="537">
        <f t="shared" si="57"/>
        <v>89</v>
      </c>
      <c r="DY140" s="537">
        <f t="shared" si="57"/>
        <v>90</v>
      </c>
      <c r="DZ140" s="537">
        <f t="shared" si="57"/>
        <v>91</v>
      </c>
      <c r="EA140" s="537">
        <f t="shared" si="57"/>
        <v>92</v>
      </c>
      <c r="EB140" s="537">
        <f t="shared" si="57"/>
        <v>93</v>
      </c>
      <c r="EC140" s="537">
        <f t="shared" si="57"/>
        <v>94</v>
      </c>
      <c r="ED140" s="537">
        <f t="shared" si="57"/>
        <v>95</v>
      </c>
      <c r="EE140" s="537">
        <f t="shared" si="57"/>
        <v>96</v>
      </c>
      <c r="EF140" s="537">
        <f t="shared" si="57"/>
        <v>97</v>
      </c>
      <c r="EG140" s="537">
        <f t="shared" si="57"/>
        <v>98</v>
      </c>
      <c r="EH140" s="537">
        <f t="shared" si="57"/>
        <v>99</v>
      </c>
      <c r="EI140" s="537">
        <f t="shared" si="57"/>
        <v>100</v>
      </c>
      <c r="EJ140" s="537">
        <f t="shared" si="57"/>
        <v>100</v>
      </c>
      <c r="EK140" s="537">
        <f t="shared" si="57"/>
        <v>100</v>
      </c>
      <c r="EL140" s="537">
        <f t="shared" si="57"/>
        <v>100</v>
      </c>
      <c r="EM140" s="537">
        <f t="shared" si="57"/>
        <v>100</v>
      </c>
      <c r="EN140" s="537">
        <f t="shared" si="57"/>
        <v>100</v>
      </c>
      <c r="EO140" s="537">
        <f t="shared" si="57"/>
        <v>100</v>
      </c>
      <c r="EP140" s="537">
        <f t="shared" si="57"/>
        <v>100</v>
      </c>
      <c r="EQ140" s="537">
        <f t="shared" si="57"/>
        <v>100</v>
      </c>
      <c r="ER140" s="537">
        <f t="shared" si="57"/>
        <v>100</v>
      </c>
      <c r="ES140" s="537">
        <f t="shared" si="57"/>
        <v>100</v>
      </c>
      <c r="ET140" s="537">
        <f t="shared" si="57"/>
        <v>100</v>
      </c>
      <c r="EU140" s="537">
        <f t="shared" si="57"/>
        <v>100</v>
      </c>
      <c r="EV140" s="537">
        <f t="shared" si="57"/>
        <v>100</v>
      </c>
      <c r="EW140" s="537">
        <f t="shared" si="57"/>
        <v>100</v>
      </c>
      <c r="EX140" s="537">
        <f t="shared" si="57"/>
        <v>100</v>
      </c>
      <c r="EY140" s="537">
        <f t="shared" si="57"/>
        <v>100</v>
      </c>
      <c r="EZ140" s="537">
        <f t="shared" si="57"/>
        <v>100</v>
      </c>
      <c r="FA140" s="537">
        <f t="shared" si="57"/>
        <v>100</v>
      </c>
      <c r="FB140" s="537">
        <f t="shared" si="57"/>
        <v>100</v>
      </c>
      <c r="FC140" s="537">
        <f t="shared" si="57"/>
        <v>100</v>
      </c>
      <c r="FD140" s="537">
        <f t="shared" si="57"/>
        <v>100</v>
      </c>
      <c r="FE140" s="537">
        <f t="shared" si="57"/>
        <v>100</v>
      </c>
      <c r="FF140" s="537">
        <f t="shared" si="57"/>
        <v>100</v>
      </c>
      <c r="FG140" s="537">
        <f t="shared" si="57"/>
        <v>100</v>
      </c>
      <c r="FH140" s="537">
        <f t="shared" si="57"/>
        <v>100</v>
      </c>
      <c r="FI140" s="537">
        <f t="shared" si="57"/>
        <v>100</v>
      </c>
      <c r="FJ140" s="537">
        <f t="shared" si="57"/>
        <v>100</v>
      </c>
      <c r="FK140" s="537">
        <f t="shared" si="57"/>
        <v>100</v>
      </c>
      <c r="FL140" s="537">
        <f t="shared" si="57"/>
        <v>100</v>
      </c>
      <c r="FM140" s="537">
        <f t="shared" si="57"/>
        <v>100</v>
      </c>
      <c r="FN140" s="537">
        <f t="shared" si="57"/>
        <v>100</v>
      </c>
      <c r="FO140" s="537">
        <f t="shared" si="57"/>
        <v>100</v>
      </c>
      <c r="FP140" s="537">
        <f t="shared" si="57"/>
        <v>100</v>
      </c>
      <c r="FQ140" s="537">
        <f t="shared" si="57"/>
        <v>100</v>
      </c>
      <c r="FR140" s="537">
        <f t="shared" si="57"/>
        <v>100</v>
      </c>
      <c r="FS140" s="537">
        <f t="shared" si="57"/>
        <v>100</v>
      </c>
      <c r="FT140" s="537">
        <f t="shared" si="57"/>
        <v>100</v>
      </c>
      <c r="FU140" s="537">
        <f t="shared" si="57"/>
        <v>100</v>
      </c>
      <c r="FV140" s="537">
        <f t="shared" si="57"/>
        <v>100</v>
      </c>
      <c r="FW140" s="537">
        <f t="shared" si="57"/>
        <v>100</v>
      </c>
      <c r="FX140" s="537">
        <f t="shared" si="57"/>
        <v>100</v>
      </c>
      <c r="FY140" s="537">
        <f t="shared" si="57"/>
        <v>100</v>
      </c>
      <c r="FZ140" s="537">
        <f t="shared" si="57"/>
        <v>100</v>
      </c>
      <c r="GA140" s="537">
        <f t="shared" si="57"/>
        <v>100</v>
      </c>
      <c r="GB140" s="537">
        <f t="shared" si="57"/>
        <v>100</v>
      </c>
      <c r="GC140" s="537">
        <f t="shared" si="57"/>
        <v>100</v>
      </c>
      <c r="GD140" s="537">
        <f t="shared" si="57"/>
        <v>100</v>
      </c>
      <c r="GE140" s="537">
        <f t="shared" si="57"/>
        <v>100</v>
      </c>
      <c r="GF140" s="537">
        <f t="shared" si="57"/>
        <v>100</v>
      </c>
      <c r="GG140" s="537">
        <f t="shared" si="57"/>
        <v>100</v>
      </c>
      <c r="GH140" s="537">
        <f t="shared" si="57"/>
        <v>100</v>
      </c>
      <c r="GI140" s="537">
        <f t="shared" si="57"/>
        <v>100</v>
      </c>
      <c r="GJ140" s="537">
        <f t="shared" si="57"/>
        <v>100</v>
      </c>
    </row>
    <row r="142" spans="5:7" ht="12.75">
      <c r="E142" s="546" t="str">
        <f>InpC!E$16</f>
        <v>Length of operating period</v>
      </c>
      <c r="F142" s="548">
        <f>InpC!F$16</f>
        <v>3</v>
      </c>
      <c r="G142" s="548" t="str">
        <f>InpC!G$16</f>
        <v>months</v>
      </c>
    </row>
    <row r="143" spans="5:7" ht="12.75">
      <c r="E143" s="546" t="str">
        <f>InpC!E$26</f>
        <v>Months in year</v>
      </c>
      <c r="F143" s="548">
        <f>InpC!F$26</f>
        <v>12</v>
      </c>
      <c r="G143" s="548" t="str">
        <f>InpC!G$26</f>
        <v>months</v>
      </c>
    </row>
    <row r="144" spans="5:192" ht="12.75">
      <c r="E144" s="535" t="str">
        <f>E$91</f>
        <v>Operating period flag</v>
      </c>
      <c r="G144" s="537" t="str">
        <f>G$91</f>
        <v>flag</v>
      </c>
      <c r="H144" s="537">
        <f>H$91</f>
        <v>100</v>
      </c>
      <c r="J144" s="537">
        <f t="shared" si="58" ref="J144:GJ144">J$91</f>
        <v>0</v>
      </c>
      <c r="K144" s="537">
        <f t="shared" si="58"/>
        <v>0</v>
      </c>
      <c r="L144" s="537">
        <f t="shared" si="58"/>
        <v>0</v>
      </c>
      <c r="M144" s="537">
        <f t="shared" si="58"/>
        <v>0</v>
      </c>
      <c r="N144" s="537">
        <f t="shared" si="58"/>
        <v>0</v>
      </c>
      <c r="O144" s="537">
        <f t="shared" si="58"/>
        <v>0</v>
      </c>
      <c r="P144" s="537">
        <f t="shared" si="58"/>
        <v>0</v>
      </c>
      <c r="Q144" s="537">
        <f t="shared" si="58"/>
        <v>0</v>
      </c>
      <c r="R144" s="537">
        <f t="shared" si="58"/>
        <v>0</v>
      </c>
      <c r="S144" s="537">
        <f t="shared" si="58"/>
        <v>0</v>
      </c>
      <c r="T144" s="537">
        <f t="shared" si="58"/>
        <v>0</v>
      </c>
      <c r="U144" s="537">
        <f t="shared" si="58"/>
        <v>0</v>
      </c>
      <c r="V144" s="537">
        <f t="shared" si="58"/>
        <v>0</v>
      </c>
      <c r="W144" s="537">
        <f t="shared" si="58"/>
        <v>0</v>
      </c>
      <c r="X144" s="537">
        <f t="shared" si="58"/>
        <v>0</v>
      </c>
      <c r="Y144" s="537">
        <f t="shared" si="58"/>
        <v>0</v>
      </c>
      <c r="Z144" s="537">
        <f t="shared" si="58"/>
        <v>0</v>
      </c>
      <c r="AA144" s="537">
        <f t="shared" si="58"/>
        <v>0</v>
      </c>
      <c r="AB144" s="537">
        <f t="shared" si="58"/>
        <v>0</v>
      </c>
      <c r="AC144" s="537">
        <f t="shared" si="58"/>
        <v>0</v>
      </c>
      <c r="AD144" s="537">
        <f t="shared" si="58"/>
        <v>0</v>
      </c>
      <c r="AE144" s="537">
        <f t="shared" si="58"/>
        <v>0</v>
      </c>
      <c r="AF144" s="537">
        <f t="shared" si="58"/>
        <v>0</v>
      </c>
      <c r="AG144" s="537">
        <f t="shared" si="58"/>
        <v>0</v>
      </c>
      <c r="AH144" s="537">
        <f t="shared" si="58"/>
        <v>0</v>
      </c>
      <c r="AI144" s="537">
        <f t="shared" si="58"/>
        <v>0</v>
      </c>
      <c r="AJ144" s="537">
        <f t="shared" si="58"/>
        <v>0</v>
      </c>
      <c r="AK144" s="537">
        <f t="shared" si="58"/>
        <v>0</v>
      </c>
      <c r="AL144" s="537">
        <f t="shared" si="58"/>
        <v>0</v>
      </c>
      <c r="AM144" s="537">
        <f t="shared" si="58"/>
        <v>0</v>
      </c>
      <c r="AN144" s="537">
        <f t="shared" si="58"/>
        <v>1</v>
      </c>
      <c r="AO144" s="537">
        <f t="shared" si="58"/>
        <v>1</v>
      </c>
      <c r="AP144" s="537">
        <f t="shared" si="58"/>
        <v>1</v>
      </c>
      <c r="AQ144" s="537">
        <f t="shared" si="58"/>
        <v>1</v>
      </c>
      <c r="AR144" s="537">
        <f t="shared" si="58"/>
        <v>1</v>
      </c>
      <c r="AS144" s="537">
        <f t="shared" si="58"/>
        <v>1</v>
      </c>
      <c r="AT144" s="537">
        <f t="shared" si="58"/>
        <v>1</v>
      </c>
      <c r="AU144" s="537">
        <f t="shared" si="58"/>
        <v>1</v>
      </c>
      <c r="AV144" s="537">
        <f t="shared" si="58"/>
        <v>1</v>
      </c>
      <c r="AW144" s="537">
        <f t="shared" si="58"/>
        <v>1</v>
      </c>
      <c r="AX144" s="537">
        <f t="shared" si="58"/>
        <v>1</v>
      </c>
      <c r="AY144" s="537">
        <f t="shared" si="58"/>
        <v>1</v>
      </c>
      <c r="AZ144" s="537">
        <f t="shared" si="58"/>
        <v>1</v>
      </c>
      <c r="BA144" s="537">
        <f t="shared" si="58"/>
        <v>1</v>
      </c>
      <c r="BB144" s="537">
        <f t="shared" si="58"/>
        <v>1</v>
      </c>
      <c r="BC144" s="537">
        <f t="shared" si="58"/>
        <v>1</v>
      </c>
      <c r="BD144" s="537">
        <f t="shared" si="58"/>
        <v>1</v>
      </c>
      <c r="BE144" s="537">
        <f t="shared" si="58"/>
        <v>1</v>
      </c>
      <c r="BF144" s="537">
        <f t="shared" si="58"/>
        <v>1</v>
      </c>
      <c r="BG144" s="537">
        <f t="shared" si="58"/>
        <v>1</v>
      </c>
      <c r="BH144" s="537">
        <f t="shared" si="58"/>
        <v>1</v>
      </c>
      <c r="BI144" s="537">
        <f t="shared" si="58"/>
        <v>1</v>
      </c>
      <c r="BJ144" s="537">
        <f t="shared" si="58"/>
        <v>1</v>
      </c>
      <c r="BK144" s="537">
        <f t="shared" si="58"/>
        <v>1</v>
      </c>
      <c r="BL144" s="537">
        <f t="shared" si="58"/>
        <v>1</v>
      </c>
      <c r="BM144" s="537">
        <f t="shared" si="58"/>
        <v>1</v>
      </c>
      <c r="BN144" s="537">
        <f t="shared" si="58"/>
        <v>1</v>
      </c>
      <c r="BO144" s="537">
        <f t="shared" si="58"/>
        <v>1</v>
      </c>
      <c r="BP144" s="537">
        <f t="shared" si="58"/>
        <v>1</v>
      </c>
      <c r="BQ144" s="537">
        <f t="shared" si="58"/>
        <v>1</v>
      </c>
      <c r="BR144" s="537">
        <f t="shared" si="58"/>
        <v>1</v>
      </c>
      <c r="BS144" s="537">
        <f t="shared" si="58"/>
        <v>1</v>
      </c>
      <c r="BT144" s="537">
        <f t="shared" si="58"/>
        <v>1</v>
      </c>
      <c r="BU144" s="537">
        <f t="shared" si="58"/>
        <v>1</v>
      </c>
      <c r="BV144" s="537">
        <f t="shared" si="58"/>
        <v>1</v>
      </c>
      <c r="BW144" s="537">
        <f t="shared" si="58"/>
        <v>1</v>
      </c>
      <c r="BX144" s="537">
        <f t="shared" si="58"/>
        <v>1</v>
      </c>
      <c r="BY144" s="537">
        <f t="shared" si="58"/>
        <v>1</v>
      </c>
      <c r="BZ144" s="537">
        <f t="shared" si="58"/>
        <v>1</v>
      </c>
      <c r="CA144" s="537">
        <f t="shared" si="58"/>
        <v>1</v>
      </c>
      <c r="CB144" s="537">
        <f t="shared" si="58"/>
        <v>1</v>
      </c>
      <c r="CC144" s="537">
        <f t="shared" si="58"/>
        <v>1</v>
      </c>
      <c r="CD144" s="537">
        <f t="shared" si="58"/>
        <v>1</v>
      </c>
      <c r="CE144" s="537">
        <f t="shared" si="58"/>
        <v>1</v>
      </c>
      <c r="CF144" s="537">
        <f t="shared" si="58"/>
        <v>1</v>
      </c>
      <c r="CG144" s="537">
        <f t="shared" si="58"/>
        <v>1</v>
      </c>
      <c r="CH144" s="537">
        <f t="shared" si="58"/>
        <v>1</v>
      </c>
      <c r="CI144" s="537">
        <f t="shared" si="58"/>
        <v>1</v>
      </c>
      <c r="CJ144" s="537">
        <f t="shared" si="58"/>
        <v>1</v>
      </c>
      <c r="CK144" s="537">
        <f t="shared" si="58"/>
        <v>1</v>
      </c>
      <c r="CL144" s="537">
        <f t="shared" si="58"/>
        <v>1</v>
      </c>
      <c r="CM144" s="537">
        <f t="shared" si="58"/>
        <v>1</v>
      </c>
      <c r="CN144" s="537">
        <f t="shared" si="58"/>
        <v>1</v>
      </c>
      <c r="CO144" s="537">
        <f t="shared" si="58"/>
        <v>1</v>
      </c>
      <c r="CP144" s="537">
        <f t="shared" si="58"/>
        <v>1</v>
      </c>
      <c r="CQ144" s="537">
        <f t="shared" si="58"/>
        <v>1</v>
      </c>
      <c r="CR144" s="537">
        <f t="shared" si="58"/>
        <v>1</v>
      </c>
      <c r="CS144" s="537">
        <f t="shared" si="58"/>
        <v>1</v>
      </c>
      <c r="CT144" s="537">
        <f t="shared" si="58"/>
        <v>1</v>
      </c>
      <c r="CU144" s="537">
        <f t="shared" si="58"/>
        <v>1</v>
      </c>
      <c r="CV144" s="537">
        <f t="shared" si="58"/>
        <v>1</v>
      </c>
      <c r="CW144" s="537">
        <f t="shared" si="58"/>
        <v>1</v>
      </c>
      <c r="CX144" s="537">
        <f t="shared" si="58"/>
        <v>1</v>
      </c>
      <c r="CY144" s="537">
        <f t="shared" si="58"/>
        <v>1</v>
      </c>
      <c r="CZ144" s="537">
        <f t="shared" si="58"/>
        <v>1</v>
      </c>
      <c r="DA144" s="537">
        <f t="shared" si="58"/>
        <v>1</v>
      </c>
      <c r="DB144" s="537">
        <f t="shared" si="58"/>
        <v>1</v>
      </c>
      <c r="DC144" s="537">
        <f t="shared" si="58"/>
        <v>1</v>
      </c>
      <c r="DD144" s="537">
        <f t="shared" si="58"/>
        <v>1</v>
      </c>
      <c r="DE144" s="537">
        <f t="shared" si="58"/>
        <v>1</v>
      </c>
      <c r="DF144" s="537">
        <f t="shared" si="58"/>
        <v>1</v>
      </c>
      <c r="DG144" s="537">
        <f t="shared" si="58"/>
        <v>1</v>
      </c>
      <c r="DH144" s="537">
        <f t="shared" si="58"/>
        <v>1</v>
      </c>
      <c r="DI144" s="537">
        <f t="shared" si="58"/>
        <v>1</v>
      </c>
      <c r="DJ144" s="537">
        <f t="shared" si="58"/>
        <v>1</v>
      </c>
      <c r="DK144" s="537">
        <f t="shared" si="58"/>
        <v>1</v>
      </c>
      <c r="DL144" s="537">
        <f t="shared" si="58"/>
        <v>1</v>
      </c>
      <c r="DM144" s="537">
        <f t="shared" si="58"/>
        <v>1</v>
      </c>
      <c r="DN144" s="537">
        <f t="shared" si="58"/>
        <v>1</v>
      </c>
      <c r="DO144" s="537">
        <f t="shared" si="58"/>
        <v>1</v>
      </c>
      <c r="DP144" s="537">
        <f t="shared" si="58"/>
        <v>1</v>
      </c>
      <c r="DQ144" s="537">
        <f t="shared" si="58"/>
        <v>1</v>
      </c>
      <c r="DR144" s="537">
        <f t="shared" si="58"/>
        <v>1</v>
      </c>
      <c r="DS144" s="537">
        <f t="shared" si="58"/>
        <v>1</v>
      </c>
      <c r="DT144" s="537">
        <f t="shared" si="58"/>
        <v>1</v>
      </c>
      <c r="DU144" s="537">
        <f t="shared" si="58"/>
        <v>1</v>
      </c>
      <c r="DV144" s="537">
        <f t="shared" si="58"/>
        <v>1</v>
      </c>
      <c r="DW144" s="537">
        <f t="shared" si="58"/>
        <v>1</v>
      </c>
      <c r="DX144" s="537">
        <f t="shared" si="58"/>
        <v>1</v>
      </c>
      <c r="DY144" s="537">
        <f t="shared" si="58"/>
        <v>1</v>
      </c>
      <c r="DZ144" s="537">
        <f t="shared" si="58"/>
        <v>1</v>
      </c>
      <c r="EA144" s="537">
        <f t="shared" si="58"/>
        <v>1</v>
      </c>
      <c r="EB144" s="537">
        <f t="shared" si="58"/>
        <v>1</v>
      </c>
      <c r="EC144" s="537">
        <f t="shared" si="58"/>
        <v>1</v>
      </c>
      <c r="ED144" s="537">
        <f t="shared" si="58"/>
        <v>1</v>
      </c>
      <c r="EE144" s="537">
        <f t="shared" si="58"/>
        <v>1</v>
      </c>
      <c r="EF144" s="537">
        <f t="shared" si="58"/>
        <v>1</v>
      </c>
      <c r="EG144" s="537">
        <f t="shared" si="58"/>
        <v>1</v>
      </c>
      <c r="EH144" s="537">
        <f t="shared" si="58"/>
        <v>1</v>
      </c>
      <c r="EI144" s="537">
        <f t="shared" si="58"/>
        <v>1</v>
      </c>
      <c r="EJ144" s="537">
        <f t="shared" si="58"/>
        <v>0</v>
      </c>
      <c r="EK144" s="537">
        <f t="shared" si="58"/>
        <v>0</v>
      </c>
      <c r="EL144" s="537">
        <f t="shared" si="58"/>
        <v>0</v>
      </c>
      <c r="EM144" s="537">
        <f t="shared" si="58"/>
        <v>0</v>
      </c>
      <c r="EN144" s="537">
        <f t="shared" si="58"/>
        <v>0</v>
      </c>
      <c r="EO144" s="537">
        <f t="shared" si="58"/>
        <v>0</v>
      </c>
      <c r="EP144" s="537">
        <f t="shared" si="58"/>
        <v>0</v>
      </c>
      <c r="EQ144" s="537">
        <f t="shared" si="58"/>
        <v>0</v>
      </c>
      <c r="ER144" s="537">
        <f t="shared" si="58"/>
        <v>0</v>
      </c>
      <c r="ES144" s="537">
        <f t="shared" si="58"/>
        <v>0</v>
      </c>
      <c r="ET144" s="537">
        <f t="shared" si="58"/>
        <v>0</v>
      </c>
      <c r="EU144" s="537">
        <f t="shared" si="58"/>
        <v>0</v>
      </c>
      <c r="EV144" s="537">
        <f t="shared" si="58"/>
        <v>0</v>
      </c>
      <c r="EW144" s="537">
        <f t="shared" si="58"/>
        <v>0</v>
      </c>
      <c r="EX144" s="537">
        <f t="shared" si="58"/>
        <v>0</v>
      </c>
      <c r="EY144" s="537">
        <f t="shared" si="58"/>
        <v>0</v>
      </c>
      <c r="EZ144" s="537">
        <f t="shared" si="58"/>
        <v>0</v>
      </c>
      <c r="FA144" s="537">
        <f t="shared" si="58"/>
        <v>0</v>
      </c>
      <c r="FB144" s="537">
        <f t="shared" si="58"/>
        <v>0</v>
      </c>
      <c r="FC144" s="537">
        <f t="shared" si="58"/>
        <v>0</v>
      </c>
      <c r="FD144" s="537">
        <f t="shared" si="58"/>
        <v>0</v>
      </c>
      <c r="FE144" s="537">
        <f t="shared" si="58"/>
        <v>0</v>
      </c>
      <c r="FF144" s="537">
        <f t="shared" si="58"/>
        <v>0</v>
      </c>
      <c r="FG144" s="537">
        <f t="shared" si="58"/>
        <v>0</v>
      </c>
      <c r="FH144" s="537">
        <f t="shared" si="58"/>
        <v>0</v>
      </c>
      <c r="FI144" s="537">
        <f t="shared" si="58"/>
        <v>0</v>
      </c>
      <c r="FJ144" s="537">
        <f t="shared" si="58"/>
        <v>0</v>
      </c>
      <c r="FK144" s="537">
        <f t="shared" si="58"/>
        <v>0</v>
      </c>
      <c r="FL144" s="537">
        <f t="shared" si="58"/>
        <v>0</v>
      </c>
      <c r="FM144" s="537">
        <f t="shared" si="58"/>
        <v>0</v>
      </c>
      <c r="FN144" s="537">
        <f t="shared" si="58"/>
        <v>0</v>
      </c>
      <c r="FO144" s="537">
        <f t="shared" si="58"/>
        <v>0</v>
      </c>
      <c r="FP144" s="537">
        <f t="shared" si="58"/>
        <v>0</v>
      </c>
      <c r="FQ144" s="537">
        <f t="shared" si="58"/>
        <v>0</v>
      </c>
      <c r="FR144" s="537">
        <f t="shared" si="58"/>
        <v>0</v>
      </c>
      <c r="FS144" s="537">
        <f t="shared" si="58"/>
        <v>0</v>
      </c>
      <c r="FT144" s="537">
        <f t="shared" si="58"/>
        <v>0</v>
      </c>
      <c r="FU144" s="537">
        <f t="shared" si="58"/>
        <v>0</v>
      </c>
      <c r="FV144" s="537">
        <f t="shared" si="58"/>
        <v>0</v>
      </c>
      <c r="FW144" s="537">
        <f t="shared" si="58"/>
        <v>0</v>
      </c>
      <c r="FX144" s="537">
        <f t="shared" si="58"/>
        <v>0</v>
      </c>
      <c r="FY144" s="537">
        <f t="shared" si="58"/>
        <v>0</v>
      </c>
      <c r="FZ144" s="537">
        <f t="shared" si="58"/>
        <v>0</v>
      </c>
      <c r="GA144" s="537">
        <f t="shared" si="58"/>
        <v>0</v>
      </c>
      <c r="GB144" s="537">
        <f t="shared" si="58"/>
        <v>0</v>
      </c>
      <c r="GC144" s="537">
        <f t="shared" si="58"/>
        <v>0</v>
      </c>
      <c r="GD144" s="537">
        <f t="shared" si="58"/>
        <v>0</v>
      </c>
      <c r="GE144" s="537">
        <f t="shared" si="58"/>
        <v>0</v>
      </c>
      <c r="GF144" s="537">
        <f t="shared" si="58"/>
        <v>0</v>
      </c>
      <c r="GG144" s="537">
        <f t="shared" si="58"/>
        <v>0</v>
      </c>
      <c r="GH144" s="537">
        <f t="shared" si="58"/>
        <v>0</v>
      </c>
      <c r="GI144" s="537">
        <f t="shared" si="58"/>
        <v>0</v>
      </c>
      <c r="GJ144" s="537">
        <f t="shared" si="58"/>
        <v>0</v>
      </c>
    </row>
    <row r="145" spans="5:192" ht="12.75">
      <c r="E145" s="535" t="s">
        <v>79</v>
      </c>
      <c r="G145" s="537" t="s">
        <v>46</v>
      </c>
      <c r="H145" s="537">
        <f>SUM(J145:GJ145)</f>
        <v>250</v>
      </c>
      <c r="J145" s="537">
        <f t="shared" si="59" ref="J145:GJ145">IF(I145=$F143/$F142,1,I145+1)*J144</f>
        <v>0</v>
      </c>
      <c r="K145" s="537">
        <f t="shared" si="59"/>
        <v>0</v>
      </c>
      <c r="L145" s="537">
        <f t="shared" si="59"/>
        <v>0</v>
      </c>
      <c r="M145" s="537">
        <f t="shared" si="59"/>
        <v>0</v>
      </c>
      <c r="N145" s="537">
        <f t="shared" si="59"/>
        <v>0</v>
      </c>
      <c r="O145" s="537">
        <f t="shared" si="59"/>
        <v>0</v>
      </c>
      <c r="P145" s="537">
        <f t="shared" si="59"/>
        <v>0</v>
      </c>
      <c r="Q145" s="537">
        <f t="shared" si="59"/>
        <v>0</v>
      </c>
      <c r="R145" s="537">
        <f t="shared" si="59"/>
        <v>0</v>
      </c>
      <c r="S145" s="537">
        <f t="shared" si="59"/>
        <v>0</v>
      </c>
      <c r="T145" s="537">
        <f t="shared" si="59"/>
        <v>0</v>
      </c>
      <c r="U145" s="537">
        <f t="shared" si="59"/>
        <v>0</v>
      </c>
      <c r="V145" s="537">
        <f t="shared" si="59"/>
        <v>0</v>
      </c>
      <c r="W145" s="537">
        <f t="shared" si="59"/>
        <v>0</v>
      </c>
      <c r="X145" s="537">
        <f t="shared" si="59"/>
        <v>0</v>
      </c>
      <c r="Y145" s="537">
        <f t="shared" si="59"/>
        <v>0</v>
      </c>
      <c r="Z145" s="537">
        <f t="shared" si="59"/>
        <v>0</v>
      </c>
      <c r="AA145" s="537">
        <f t="shared" si="59"/>
        <v>0</v>
      </c>
      <c r="AB145" s="537">
        <f t="shared" si="59"/>
        <v>0</v>
      </c>
      <c r="AC145" s="537">
        <f t="shared" si="59"/>
        <v>0</v>
      </c>
      <c r="AD145" s="537">
        <f t="shared" si="59"/>
        <v>0</v>
      </c>
      <c r="AE145" s="537">
        <f t="shared" si="59"/>
        <v>0</v>
      </c>
      <c r="AF145" s="537">
        <f t="shared" si="59"/>
        <v>0</v>
      </c>
      <c r="AG145" s="537">
        <f t="shared" si="59"/>
        <v>0</v>
      </c>
      <c r="AH145" s="537">
        <f t="shared" si="59"/>
        <v>0</v>
      </c>
      <c r="AI145" s="537">
        <f t="shared" si="59"/>
        <v>0</v>
      </c>
      <c r="AJ145" s="537">
        <f t="shared" si="59"/>
        <v>0</v>
      </c>
      <c r="AK145" s="537">
        <f t="shared" si="59"/>
        <v>0</v>
      </c>
      <c r="AL145" s="537">
        <f t="shared" si="59"/>
        <v>0</v>
      </c>
      <c r="AM145" s="537">
        <f t="shared" si="59"/>
        <v>0</v>
      </c>
      <c r="AN145" s="537">
        <f t="shared" si="59"/>
        <v>1</v>
      </c>
      <c r="AO145" s="537">
        <f t="shared" si="59"/>
        <v>2</v>
      </c>
      <c r="AP145" s="537">
        <f t="shared" si="59"/>
        <v>3</v>
      </c>
      <c r="AQ145" s="537">
        <f t="shared" si="59"/>
        <v>4</v>
      </c>
      <c r="AR145" s="537">
        <f t="shared" si="59"/>
        <v>1</v>
      </c>
      <c r="AS145" s="537">
        <f t="shared" si="59"/>
        <v>2</v>
      </c>
      <c r="AT145" s="537">
        <f t="shared" si="59"/>
        <v>3</v>
      </c>
      <c r="AU145" s="537">
        <f t="shared" si="59"/>
        <v>4</v>
      </c>
      <c r="AV145" s="537">
        <f t="shared" si="59"/>
        <v>1</v>
      </c>
      <c r="AW145" s="537">
        <f t="shared" si="59"/>
        <v>2</v>
      </c>
      <c r="AX145" s="537">
        <f t="shared" si="59"/>
        <v>3</v>
      </c>
      <c r="AY145" s="537">
        <f t="shared" si="59"/>
        <v>4</v>
      </c>
      <c r="AZ145" s="537">
        <f t="shared" si="59"/>
        <v>1</v>
      </c>
      <c r="BA145" s="537">
        <f t="shared" si="59"/>
        <v>2</v>
      </c>
      <c r="BB145" s="537">
        <f t="shared" si="59"/>
        <v>3</v>
      </c>
      <c r="BC145" s="537">
        <f t="shared" si="59"/>
        <v>4</v>
      </c>
      <c r="BD145" s="537">
        <f t="shared" si="59"/>
        <v>1</v>
      </c>
      <c r="BE145" s="537">
        <f t="shared" si="59"/>
        <v>2</v>
      </c>
      <c r="BF145" s="537">
        <f t="shared" si="59"/>
        <v>3</v>
      </c>
      <c r="BG145" s="537">
        <f t="shared" si="59"/>
        <v>4</v>
      </c>
      <c r="BH145" s="537">
        <f t="shared" si="59"/>
        <v>1</v>
      </c>
      <c r="BI145" s="537">
        <f t="shared" si="59"/>
        <v>2</v>
      </c>
      <c r="BJ145" s="537">
        <f t="shared" si="59"/>
        <v>3</v>
      </c>
      <c r="BK145" s="537">
        <f t="shared" si="59"/>
        <v>4</v>
      </c>
      <c r="BL145" s="537">
        <f t="shared" si="59"/>
        <v>1</v>
      </c>
      <c r="BM145" s="537">
        <f t="shared" si="59"/>
        <v>2</v>
      </c>
      <c r="BN145" s="537">
        <f t="shared" si="59"/>
        <v>3</v>
      </c>
      <c r="BO145" s="537">
        <f t="shared" si="59"/>
        <v>4</v>
      </c>
      <c r="BP145" s="537">
        <f t="shared" si="59"/>
        <v>1</v>
      </c>
      <c r="BQ145" s="537">
        <f t="shared" si="59"/>
        <v>2</v>
      </c>
      <c r="BR145" s="537">
        <f t="shared" si="59"/>
        <v>3</v>
      </c>
      <c r="BS145" s="537">
        <f t="shared" si="59"/>
        <v>4</v>
      </c>
      <c r="BT145" s="537">
        <f t="shared" si="59"/>
        <v>1</v>
      </c>
      <c r="BU145" s="537">
        <f t="shared" si="59"/>
        <v>2</v>
      </c>
      <c r="BV145" s="537">
        <f t="shared" si="59"/>
        <v>3</v>
      </c>
      <c r="BW145" s="537">
        <f t="shared" si="59"/>
        <v>4</v>
      </c>
      <c r="BX145" s="537">
        <f t="shared" si="59"/>
        <v>1</v>
      </c>
      <c r="BY145" s="537">
        <f t="shared" si="59"/>
        <v>2</v>
      </c>
      <c r="BZ145" s="537">
        <f t="shared" si="59"/>
        <v>3</v>
      </c>
      <c r="CA145" s="537">
        <f t="shared" si="59"/>
        <v>4</v>
      </c>
      <c r="CB145" s="537">
        <f t="shared" si="59"/>
        <v>1</v>
      </c>
      <c r="CC145" s="537">
        <f t="shared" si="59"/>
        <v>2</v>
      </c>
      <c r="CD145" s="537">
        <f t="shared" si="59"/>
        <v>3</v>
      </c>
      <c r="CE145" s="537">
        <f t="shared" si="59"/>
        <v>4</v>
      </c>
      <c r="CF145" s="537">
        <f t="shared" si="59"/>
        <v>1</v>
      </c>
      <c r="CG145" s="537">
        <f t="shared" si="59"/>
        <v>2</v>
      </c>
      <c r="CH145" s="537">
        <f t="shared" si="59"/>
        <v>3</v>
      </c>
      <c r="CI145" s="537">
        <f t="shared" si="59"/>
        <v>4</v>
      </c>
      <c r="CJ145" s="537">
        <f t="shared" si="59"/>
        <v>1</v>
      </c>
      <c r="CK145" s="537">
        <f t="shared" si="59"/>
        <v>2</v>
      </c>
      <c r="CL145" s="537">
        <f t="shared" si="59"/>
        <v>3</v>
      </c>
      <c r="CM145" s="537">
        <f t="shared" si="59"/>
        <v>4</v>
      </c>
      <c r="CN145" s="537">
        <f t="shared" si="59"/>
        <v>1</v>
      </c>
      <c r="CO145" s="537">
        <f t="shared" si="59"/>
        <v>2</v>
      </c>
      <c r="CP145" s="537">
        <f t="shared" si="59"/>
        <v>3</v>
      </c>
      <c r="CQ145" s="537">
        <f t="shared" si="59"/>
        <v>4</v>
      </c>
      <c r="CR145" s="537">
        <f t="shared" si="59"/>
        <v>1</v>
      </c>
      <c r="CS145" s="537">
        <f t="shared" si="59"/>
        <v>2</v>
      </c>
      <c r="CT145" s="537">
        <f t="shared" si="59"/>
        <v>3</v>
      </c>
      <c r="CU145" s="537">
        <f t="shared" si="59"/>
        <v>4</v>
      </c>
      <c r="CV145" s="537">
        <f t="shared" si="59"/>
        <v>1</v>
      </c>
      <c r="CW145" s="537">
        <f t="shared" si="59"/>
        <v>2</v>
      </c>
      <c r="CX145" s="537">
        <f t="shared" si="59"/>
        <v>3</v>
      </c>
      <c r="CY145" s="537">
        <f t="shared" si="59"/>
        <v>4</v>
      </c>
      <c r="CZ145" s="537">
        <f t="shared" si="59"/>
        <v>1</v>
      </c>
      <c r="DA145" s="537">
        <f t="shared" si="59"/>
        <v>2</v>
      </c>
      <c r="DB145" s="537">
        <f t="shared" si="59"/>
        <v>3</v>
      </c>
      <c r="DC145" s="537">
        <f t="shared" si="59"/>
        <v>4</v>
      </c>
      <c r="DD145" s="537">
        <f t="shared" si="59"/>
        <v>1</v>
      </c>
      <c r="DE145" s="537">
        <f t="shared" si="59"/>
        <v>2</v>
      </c>
      <c r="DF145" s="537">
        <f t="shared" si="59"/>
        <v>3</v>
      </c>
      <c r="DG145" s="537">
        <f t="shared" si="59"/>
        <v>4</v>
      </c>
      <c r="DH145" s="537">
        <f t="shared" si="59"/>
        <v>1</v>
      </c>
      <c r="DI145" s="537">
        <f t="shared" si="59"/>
        <v>2</v>
      </c>
      <c r="DJ145" s="537">
        <f t="shared" si="59"/>
        <v>3</v>
      </c>
      <c r="DK145" s="537">
        <f t="shared" si="59"/>
        <v>4</v>
      </c>
      <c r="DL145" s="537">
        <f t="shared" si="59"/>
        <v>1</v>
      </c>
      <c r="DM145" s="537">
        <f t="shared" si="59"/>
        <v>2</v>
      </c>
      <c r="DN145" s="537">
        <f t="shared" si="59"/>
        <v>3</v>
      </c>
      <c r="DO145" s="537">
        <f t="shared" si="59"/>
        <v>4</v>
      </c>
      <c r="DP145" s="537">
        <f t="shared" si="59"/>
        <v>1</v>
      </c>
      <c r="DQ145" s="537">
        <f t="shared" si="59"/>
        <v>2</v>
      </c>
      <c r="DR145" s="537">
        <f t="shared" si="59"/>
        <v>3</v>
      </c>
      <c r="DS145" s="537">
        <f t="shared" si="59"/>
        <v>4</v>
      </c>
      <c r="DT145" s="537">
        <f t="shared" si="59"/>
        <v>1</v>
      </c>
      <c r="DU145" s="537">
        <f t="shared" si="59"/>
        <v>2</v>
      </c>
      <c r="DV145" s="537">
        <f t="shared" si="59"/>
        <v>3</v>
      </c>
      <c r="DW145" s="537">
        <f t="shared" si="59"/>
        <v>4</v>
      </c>
      <c r="DX145" s="537">
        <f t="shared" si="59"/>
        <v>1</v>
      </c>
      <c r="DY145" s="537">
        <f t="shared" si="59"/>
        <v>2</v>
      </c>
      <c r="DZ145" s="537">
        <f t="shared" si="59"/>
        <v>3</v>
      </c>
      <c r="EA145" s="537">
        <f t="shared" si="59"/>
        <v>4</v>
      </c>
      <c r="EB145" s="537">
        <f t="shared" si="59"/>
        <v>1</v>
      </c>
      <c r="EC145" s="537">
        <f t="shared" si="59"/>
        <v>2</v>
      </c>
      <c r="ED145" s="537">
        <f t="shared" si="59"/>
        <v>3</v>
      </c>
      <c r="EE145" s="537">
        <f t="shared" si="59"/>
        <v>4</v>
      </c>
      <c r="EF145" s="537">
        <f t="shared" si="59"/>
        <v>1</v>
      </c>
      <c r="EG145" s="537">
        <f t="shared" si="59"/>
        <v>2</v>
      </c>
      <c r="EH145" s="537">
        <f t="shared" si="59"/>
        <v>3</v>
      </c>
      <c r="EI145" s="537">
        <f t="shared" si="59"/>
        <v>4</v>
      </c>
      <c r="EJ145" s="537">
        <f t="shared" si="59"/>
        <v>0</v>
      </c>
      <c r="EK145" s="537">
        <f t="shared" si="59"/>
        <v>0</v>
      </c>
      <c r="EL145" s="537">
        <f t="shared" si="59"/>
        <v>0</v>
      </c>
      <c r="EM145" s="537">
        <f t="shared" si="59"/>
        <v>0</v>
      </c>
      <c r="EN145" s="537">
        <f t="shared" si="59"/>
        <v>0</v>
      </c>
      <c r="EO145" s="537">
        <f t="shared" si="59"/>
        <v>0</v>
      </c>
      <c r="EP145" s="537">
        <f t="shared" si="59"/>
        <v>0</v>
      </c>
      <c r="EQ145" s="537">
        <f t="shared" si="59"/>
        <v>0</v>
      </c>
      <c r="ER145" s="537">
        <f t="shared" si="59"/>
        <v>0</v>
      </c>
      <c r="ES145" s="537">
        <f t="shared" si="59"/>
        <v>0</v>
      </c>
      <c r="ET145" s="537">
        <f t="shared" si="59"/>
        <v>0</v>
      </c>
      <c r="EU145" s="537">
        <f t="shared" si="59"/>
        <v>0</v>
      </c>
      <c r="EV145" s="537">
        <f t="shared" si="59"/>
        <v>0</v>
      </c>
      <c r="EW145" s="537">
        <f t="shared" si="59"/>
        <v>0</v>
      </c>
      <c r="EX145" s="537">
        <f t="shared" si="59"/>
        <v>0</v>
      </c>
      <c r="EY145" s="537">
        <f t="shared" si="59"/>
        <v>0</v>
      </c>
      <c r="EZ145" s="537">
        <f t="shared" si="59"/>
        <v>0</v>
      </c>
      <c r="FA145" s="537">
        <f t="shared" si="59"/>
        <v>0</v>
      </c>
      <c r="FB145" s="537">
        <f t="shared" si="59"/>
        <v>0</v>
      </c>
      <c r="FC145" s="537">
        <f t="shared" si="59"/>
        <v>0</v>
      </c>
      <c r="FD145" s="537">
        <f t="shared" si="59"/>
        <v>0</v>
      </c>
      <c r="FE145" s="537">
        <f t="shared" si="59"/>
        <v>0</v>
      </c>
      <c r="FF145" s="537">
        <f t="shared" si="59"/>
        <v>0</v>
      </c>
      <c r="FG145" s="537">
        <f t="shared" si="59"/>
        <v>0</v>
      </c>
      <c r="FH145" s="537">
        <f t="shared" si="59"/>
        <v>0</v>
      </c>
      <c r="FI145" s="537">
        <f t="shared" si="59"/>
        <v>0</v>
      </c>
      <c r="FJ145" s="537">
        <f t="shared" si="59"/>
        <v>0</v>
      </c>
      <c r="FK145" s="537">
        <f t="shared" si="59"/>
        <v>0</v>
      </c>
      <c r="FL145" s="537">
        <f t="shared" si="59"/>
        <v>0</v>
      </c>
      <c r="FM145" s="537">
        <f t="shared" si="59"/>
        <v>0</v>
      </c>
      <c r="FN145" s="537">
        <f t="shared" si="59"/>
        <v>0</v>
      </c>
      <c r="FO145" s="537">
        <f t="shared" si="59"/>
        <v>0</v>
      </c>
      <c r="FP145" s="537">
        <f t="shared" si="59"/>
        <v>0</v>
      </c>
      <c r="FQ145" s="537">
        <f t="shared" si="59"/>
        <v>0</v>
      </c>
      <c r="FR145" s="537">
        <f t="shared" si="59"/>
        <v>0</v>
      </c>
      <c r="FS145" s="537">
        <f t="shared" si="59"/>
        <v>0</v>
      </c>
      <c r="FT145" s="537">
        <f t="shared" si="59"/>
        <v>0</v>
      </c>
      <c r="FU145" s="537">
        <f t="shared" si="59"/>
        <v>0</v>
      </c>
      <c r="FV145" s="537">
        <f t="shared" si="59"/>
        <v>0</v>
      </c>
      <c r="FW145" s="537">
        <f t="shared" si="59"/>
        <v>0</v>
      </c>
      <c r="FX145" s="537">
        <f t="shared" si="59"/>
        <v>0</v>
      </c>
      <c r="FY145" s="537">
        <f t="shared" si="59"/>
        <v>0</v>
      </c>
      <c r="FZ145" s="537">
        <f t="shared" si="59"/>
        <v>0</v>
      </c>
      <c r="GA145" s="537">
        <f t="shared" si="59"/>
        <v>0</v>
      </c>
      <c r="GB145" s="537">
        <f t="shared" si="59"/>
        <v>0</v>
      </c>
      <c r="GC145" s="537">
        <f t="shared" si="59"/>
        <v>0</v>
      </c>
      <c r="GD145" s="537">
        <f t="shared" si="59"/>
        <v>0</v>
      </c>
      <c r="GE145" s="537">
        <f t="shared" si="59"/>
        <v>0</v>
      </c>
      <c r="GF145" s="537">
        <f t="shared" si="59"/>
        <v>0</v>
      </c>
      <c r="GG145" s="537">
        <f t="shared" si="59"/>
        <v>0</v>
      </c>
      <c r="GH145" s="537">
        <f t="shared" si="59"/>
        <v>0</v>
      </c>
      <c r="GI145" s="537">
        <f t="shared" si="59"/>
        <v>0</v>
      </c>
      <c r="GJ145" s="537">
        <f t="shared" si="59"/>
        <v>0</v>
      </c>
    </row>
    <row r="147" spans="2:2" ht="12.75">
      <c r="B147" s="534" t="s">
        <v>80</v>
      </c>
    </row>
    <row r="148" spans="5:192" ht="12.75">
      <c r="E148" s="535" t="str">
        <f>E$91</f>
        <v>Operating period flag</v>
      </c>
      <c r="G148" s="537" t="str">
        <f>G$91</f>
        <v>flag</v>
      </c>
      <c r="H148" s="537">
        <f>H$91</f>
        <v>100</v>
      </c>
      <c r="J148" s="537">
        <f t="shared" si="60" ref="J148:GJ148">J$91</f>
        <v>0</v>
      </c>
      <c r="K148" s="537">
        <f t="shared" si="60"/>
        <v>0</v>
      </c>
      <c r="L148" s="537">
        <f t="shared" si="60"/>
        <v>0</v>
      </c>
      <c r="M148" s="537">
        <f t="shared" si="60"/>
        <v>0</v>
      </c>
      <c r="N148" s="537">
        <f t="shared" si="60"/>
        <v>0</v>
      </c>
      <c r="O148" s="537">
        <f t="shared" si="60"/>
        <v>0</v>
      </c>
      <c r="P148" s="537">
        <f t="shared" si="60"/>
        <v>0</v>
      </c>
      <c r="Q148" s="537">
        <f t="shared" si="60"/>
        <v>0</v>
      </c>
      <c r="R148" s="537">
        <f t="shared" si="60"/>
        <v>0</v>
      </c>
      <c r="S148" s="537">
        <f t="shared" si="60"/>
        <v>0</v>
      </c>
      <c r="T148" s="537">
        <f t="shared" si="60"/>
        <v>0</v>
      </c>
      <c r="U148" s="537">
        <f t="shared" si="60"/>
        <v>0</v>
      </c>
      <c r="V148" s="537">
        <f t="shared" si="60"/>
        <v>0</v>
      </c>
      <c r="W148" s="537">
        <f t="shared" si="60"/>
        <v>0</v>
      </c>
      <c r="X148" s="537">
        <f t="shared" si="60"/>
        <v>0</v>
      </c>
      <c r="Y148" s="537">
        <f t="shared" si="60"/>
        <v>0</v>
      </c>
      <c r="Z148" s="537">
        <f t="shared" si="60"/>
        <v>0</v>
      </c>
      <c r="AA148" s="537">
        <f t="shared" si="60"/>
        <v>0</v>
      </c>
      <c r="AB148" s="537">
        <f t="shared" si="60"/>
        <v>0</v>
      </c>
      <c r="AC148" s="537">
        <f t="shared" si="60"/>
        <v>0</v>
      </c>
      <c r="AD148" s="537">
        <f t="shared" si="60"/>
        <v>0</v>
      </c>
      <c r="AE148" s="537">
        <f t="shared" si="60"/>
        <v>0</v>
      </c>
      <c r="AF148" s="537">
        <f t="shared" si="60"/>
        <v>0</v>
      </c>
      <c r="AG148" s="537">
        <f t="shared" si="60"/>
        <v>0</v>
      </c>
      <c r="AH148" s="537">
        <f t="shared" si="60"/>
        <v>0</v>
      </c>
      <c r="AI148" s="537">
        <f t="shared" si="60"/>
        <v>0</v>
      </c>
      <c r="AJ148" s="537">
        <f t="shared" si="60"/>
        <v>0</v>
      </c>
      <c r="AK148" s="537">
        <f t="shared" si="60"/>
        <v>0</v>
      </c>
      <c r="AL148" s="537">
        <f t="shared" si="60"/>
        <v>0</v>
      </c>
      <c r="AM148" s="537">
        <f t="shared" si="60"/>
        <v>0</v>
      </c>
      <c r="AN148" s="537">
        <f t="shared" si="60"/>
        <v>1</v>
      </c>
      <c r="AO148" s="537">
        <f t="shared" si="60"/>
        <v>1</v>
      </c>
      <c r="AP148" s="537">
        <f t="shared" si="60"/>
        <v>1</v>
      </c>
      <c r="AQ148" s="537">
        <f t="shared" si="60"/>
        <v>1</v>
      </c>
      <c r="AR148" s="537">
        <f t="shared" si="60"/>
        <v>1</v>
      </c>
      <c r="AS148" s="537">
        <f t="shared" si="60"/>
        <v>1</v>
      </c>
      <c r="AT148" s="537">
        <f t="shared" si="60"/>
        <v>1</v>
      </c>
      <c r="AU148" s="537">
        <f t="shared" si="60"/>
        <v>1</v>
      </c>
      <c r="AV148" s="537">
        <f t="shared" si="60"/>
        <v>1</v>
      </c>
      <c r="AW148" s="537">
        <f t="shared" si="60"/>
        <v>1</v>
      </c>
      <c r="AX148" s="537">
        <f t="shared" si="60"/>
        <v>1</v>
      </c>
      <c r="AY148" s="537">
        <f t="shared" si="60"/>
        <v>1</v>
      </c>
      <c r="AZ148" s="537">
        <f t="shared" si="60"/>
        <v>1</v>
      </c>
      <c r="BA148" s="537">
        <f t="shared" si="60"/>
        <v>1</v>
      </c>
      <c r="BB148" s="537">
        <f t="shared" si="60"/>
        <v>1</v>
      </c>
      <c r="BC148" s="537">
        <f t="shared" si="60"/>
        <v>1</v>
      </c>
      <c r="BD148" s="537">
        <f t="shared" si="60"/>
        <v>1</v>
      </c>
      <c r="BE148" s="537">
        <f t="shared" si="60"/>
        <v>1</v>
      </c>
      <c r="BF148" s="537">
        <f t="shared" si="60"/>
        <v>1</v>
      </c>
      <c r="BG148" s="537">
        <f t="shared" si="60"/>
        <v>1</v>
      </c>
      <c r="BH148" s="537">
        <f t="shared" si="60"/>
        <v>1</v>
      </c>
      <c r="BI148" s="537">
        <f t="shared" si="60"/>
        <v>1</v>
      </c>
      <c r="BJ148" s="537">
        <f t="shared" si="60"/>
        <v>1</v>
      </c>
      <c r="BK148" s="537">
        <f t="shared" si="60"/>
        <v>1</v>
      </c>
      <c r="BL148" s="537">
        <f t="shared" si="60"/>
        <v>1</v>
      </c>
      <c r="BM148" s="537">
        <f t="shared" si="60"/>
        <v>1</v>
      </c>
      <c r="BN148" s="537">
        <f t="shared" si="60"/>
        <v>1</v>
      </c>
      <c r="BO148" s="537">
        <f t="shared" si="60"/>
        <v>1</v>
      </c>
      <c r="BP148" s="537">
        <f t="shared" si="60"/>
        <v>1</v>
      </c>
      <c r="BQ148" s="537">
        <f t="shared" si="60"/>
        <v>1</v>
      </c>
      <c r="BR148" s="537">
        <f t="shared" si="60"/>
        <v>1</v>
      </c>
      <c r="BS148" s="537">
        <f t="shared" si="60"/>
        <v>1</v>
      </c>
      <c r="BT148" s="537">
        <f t="shared" si="60"/>
        <v>1</v>
      </c>
      <c r="BU148" s="537">
        <f t="shared" si="60"/>
        <v>1</v>
      </c>
      <c r="BV148" s="537">
        <f t="shared" si="60"/>
        <v>1</v>
      </c>
      <c r="BW148" s="537">
        <f t="shared" si="60"/>
        <v>1</v>
      </c>
      <c r="BX148" s="537">
        <f t="shared" si="60"/>
        <v>1</v>
      </c>
      <c r="BY148" s="537">
        <f t="shared" si="60"/>
        <v>1</v>
      </c>
      <c r="BZ148" s="537">
        <f t="shared" si="60"/>
        <v>1</v>
      </c>
      <c r="CA148" s="537">
        <f t="shared" si="60"/>
        <v>1</v>
      </c>
      <c r="CB148" s="537">
        <f t="shared" si="60"/>
        <v>1</v>
      </c>
      <c r="CC148" s="537">
        <f t="shared" si="60"/>
        <v>1</v>
      </c>
      <c r="CD148" s="537">
        <f t="shared" si="60"/>
        <v>1</v>
      </c>
      <c r="CE148" s="537">
        <f t="shared" si="60"/>
        <v>1</v>
      </c>
      <c r="CF148" s="537">
        <f t="shared" si="60"/>
        <v>1</v>
      </c>
      <c r="CG148" s="537">
        <f t="shared" si="60"/>
        <v>1</v>
      </c>
      <c r="CH148" s="537">
        <f t="shared" si="60"/>
        <v>1</v>
      </c>
      <c r="CI148" s="537">
        <f t="shared" si="60"/>
        <v>1</v>
      </c>
      <c r="CJ148" s="537">
        <f t="shared" si="60"/>
        <v>1</v>
      </c>
      <c r="CK148" s="537">
        <f t="shared" si="60"/>
        <v>1</v>
      </c>
      <c r="CL148" s="537">
        <f t="shared" si="60"/>
        <v>1</v>
      </c>
      <c r="CM148" s="537">
        <f t="shared" si="60"/>
        <v>1</v>
      </c>
      <c r="CN148" s="537">
        <f t="shared" si="60"/>
        <v>1</v>
      </c>
      <c r="CO148" s="537">
        <f t="shared" si="60"/>
        <v>1</v>
      </c>
      <c r="CP148" s="537">
        <f t="shared" si="60"/>
        <v>1</v>
      </c>
      <c r="CQ148" s="537">
        <f t="shared" si="60"/>
        <v>1</v>
      </c>
      <c r="CR148" s="537">
        <f t="shared" si="60"/>
        <v>1</v>
      </c>
      <c r="CS148" s="537">
        <f t="shared" si="60"/>
        <v>1</v>
      </c>
      <c r="CT148" s="537">
        <f t="shared" si="60"/>
        <v>1</v>
      </c>
      <c r="CU148" s="537">
        <f t="shared" si="60"/>
        <v>1</v>
      </c>
      <c r="CV148" s="537">
        <f t="shared" si="60"/>
        <v>1</v>
      </c>
      <c r="CW148" s="537">
        <f t="shared" si="60"/>
        <v>1</v>
      </c>
      <c r="CX148" s="537">
        <f t="shared" si="60"/>
        <v>1</v>
      </c>
      <c r="CY148" s="537">
        <f t="shared" si="60"/>
        <v>1</v>
      </c>
      <c r="CZ148" s="537">
        <f t="shared" si="60"/>
        <v>1</v>
      </c>
      <c r="DA148" s="537">
        <f t="shared" si="60"/>
        <v>1</v>
      </c>
      <c r="DB148" s="537">
        <f t="shared" si="60"/>
        <v>1</v>
      </c>
      <c r="DC148" s="537">
        <f t="shared" si="60"/>
        <v>1</v>
      </c>
      <c r="DD148" s="537">
        <f t="shared" si="60"/>
        <v>1</v>
      </c>
      <c r="DE148" s="537">
        <f t="shared" si="60"/>
        <v>1</v>
      </c>
      <c r="DF148" s="537">
        <f t="shared" si="60"/>
        <v>1</v>
      </c>
      <c r="DG148" s="537">
        <f t="shared" si="60"/>
        <v>1</v>
      </c>
      <c r="DH148" s="537">
        <f t="shared" si="60"/>
        <v>1</v>
      </c>
      <c r="DI148" s="537">
        <f t="shared" si="60"/>
        <v>1</v>
      </c>
      <c r="DJ148" s="537">
        <f t="shared" si="60"/>
        <v>1</v>
      </c>
      <c r="DK148" s="537">
        <f t="shared" si="60"/>
        <v>1</v>
      </c>
      <c r="DL148" s="537">
        <f t="shared" si="60"/>
        <v>1</v>
      </c>
      <c r="DM148" s="537">
        <f t="shared" si="60"/>
        <v>1</v>
      </c>
      <c r="DN148" s="537">
        <f t="shared" si="60"/>
        <v>1</v>
      </c>
      <c r="DO148" s="537">
        <f t="shared" si="60"/>
        <v>1</v>
      </c>
      <c r="DP148" s="537">
        <f t="shared" si="60"/>
        <v>1</v>
      </c>
      <c r="DQ148" s="537">
        <f t="shared" si="60"/>
        <v>1</v>
      </c>
      <c r="DR148" s="537">
        <f t="shared" si="60"/>
        <v>1</v>
      </c>
      <c r="DS148" s="537">
        <f t="shared" si="60"/>
        <v>1</v>
      </c>
      <c r="DT148" s="537">
        <f t="shared" si="60"/>
        <v>1</v>
      </c>
      <c r="DU148" s="537">
        <f t="shared" si="60"/>
        <v>1</v>
      </c>
      <c r="DV148" s="537">
        <f t="shared" si="60"/>
        <v>1</v>
      </c>
      <c r="DW148" s="537">
        <f t="shared" si="60"/>
        <v>1</v>
      </c>
      <c r="DX148" s="537">
        <f t="shared" si="60"/>
        <v>1</v>
      </c>
      <c r="DY148" s="537">
        <f t="shared" si="60"/>
        <v>1</v>
      </c>
      <c r="DZ148" s="537">
        <f t="shared" si="60"/>
        <v>1</v>
      </c>
      <c r="EA148" s="537">
        <f t="shared" si="60"/>
        <v>1</v>
      </c>
      <c r="EB148" s="537">
        <f t="shared" si="60"/>
        <v>1</v>
      </c>
      <c r="EC148" s="537">
        <f t="shared" si="60"/>
        <v>1</v>
      </c>
      <c r="ED148" s="537">
        <f t="shared" si="60"/>
        <v>1</v>
      </c>
      <c r="EE148" s="537">
        <f t="shared" si="60"/>
        <v>1</v>
      </c>
      <c r="EF148" s="537">
        <f t="shared" si="60"/>
        <v>1</v>
      </c>
      <c r="EG148" s="537">
        <f t="shared" si="60"/>
        <v>1</v>
      </c>
      <c r="EH148" s="537">
        <f t="shared" si="60"/>
        <v>1</v>
      </c>
      <c r="EI148" s="537">
        <f t="shared" si="60"/>
        <v>1</v>
      </c>
      <c r="EJ148" s="537">
        <f t="shared" si="60"/>
        <v>0</v>
      </c>
      <c r="EK148" s="537">
        <f t="shared" si="60"/>
        <v>0</v>
      </c>
      <c r="EL148" s="537">
        <f t="shared" si="60"/>
        <v>0</v>
      </c>
      <c r="EM148" s="537">
        <f t="shared" si="60"/>
        <v>0</v>
      </c>
      <c r="EN148" s="537">
        <f t="shared" si="60"/>
        <v>0</v>
      </c>
      <c r="EO148" s="537">
        <f t="shared" si="60"/>
        <v>0</v>
      </c>
      <c r="EP148" s="537">
        <f t="shared" si="60"/>
        <v>0</v>
      </c>
      <c r="EQ148" s="537">
        <f t="shared" si="60"/>
        <v>0</v>
      </c>
      <c r="ER148" s="537">
        <f t="shared" si="60"/>
        <v>0</v>
      </c>
      <c r="ES148" s="537">
        <f t="shared" si="60"/>
        <v>0</v>
      </c>
      <c r="ET148" s="537">
        <f t="shared" si="60"/>
        <v>0</v>
      </c>
      <c r="EU148" s="537">
        <f t="shared" si="60"/>
        <v>0</v>
      </c>
      <c r="EV148" s="537">
        <f t="shared" si="60"/>
        <v>0</v>
      </c>
      <c r="EW148" s="537">
        <f t="shared" si="60"/>
        <v>0</v>
      </c>
      <c r="EX148" s="537">
        <f t="shared" si="60"/>
        <v>0</v>
      </c>
      <c r="EY148" s="537">
        <f t="shared" si="60"/>
        <v>0</v>
      </c>
      <c r="EZ148" s="537">
        <f t="shared" si="60"/>
        <v>0</v>
      </c>
      <c r="FA148" s="537">
        <f t="shared" si="60"/>
        <v>0</v>
      </c>
      <c r="FB148" s="537">
        <f t="shared" si="60"/>
        <v>0</v>
      </c>
      <c r="FC148" s="537">
        <f t="shared" si="60"/>
        <v>0</v>
      </c>
      <c r="FD148" s="537">
        <f t="shared" si="60"/>
        <v>0</v>
      </c>
      <c r="FE148" s="537">
        <f t="shared" si="60"/>
        <v>0</v>
      </c>
      <c r="FF148" s="537">
        <f t="shared" si="60"/>
        <v>0</v>
      </c>
      <c r="FG148" s="537">
        <f t="shared" si="60"/>
        <v>0</v>
      </c>
      <c r="FH148" s="537">
        <f t="shared" si="60"/>
        <v>0</v>
      </c>
      <c r="FI148" s="537">
        <f t="shared" si="60"/>
        <v>0</v>
      </c>
      <c r="FJ148" s="537">
        <f t="shared" si="60"/>
        <v>0</v>
      </c>
      <c r="FK148" s="537">
        <f t="shared" si="60"/>
        <v>0</v>
      </c>
      <c r="FL148" s="537">
        <f t="shared" si="60"/>
        <v>0</v>
      </c>
      <c r="FM148" s="537">
        <f t="shared" si="60"/>
        <v>0</v>
      </c>
      <c r="FN148" s="537">
        <f t="shared" si="60"/>
        <v>0</v>
      </c>
      <c r="FO148" s="537">
        <f t="shared" si="60"/>
        <v>0</v>
      </c>
      <c r="FP148" s="537">
        <f t="shared" si="60"/>
        <v>0</v>
      </c>
      <c r="FQ148" s="537">
        <f t="shared" si="60"/>
        <v>0</v>
      </c>
      <c r="FR148" s="537">
        <f t="shared" si="60"/>
        <v>0</v>
      </c>
      <c r="FS148" s="537">
        <f t="shared" si="60"/>
        <v>0</v>
      </c>
      <c r="FT148" s="537">
        <f t="shared" si="60"/>
        <v>0</v>
      </c>
      <c r="FU148" s="537">
        <f t="shared" si="60"/>
        <v>0</v>
      </c>
      <c r="FV148" s="537">
        <f t="shared" si="60"/>
        <v>0</v>
      </c>
      <c r="FW148" s="537">
        <f t="shared" si="60"/>
        <v>0</v>
      </c>
      <c r="FX148" s="537">
        <f t="shared" si="60"/>
        <v>0</v>
      </c>
      <c r="FY148" s="537">
        <f t="shared" si="60"/>
        <v>0</v>
      </c>
      <c r="FZ148" s="537">
        <f t="shared" si="60"/>
        <v>0</v>
      </c>
      <c r="GA148" s="537">
        <f t="shared" si="60"/>
        <v>0</v>
      </c>
      <c r="GB148" s="537">
        <f t="shared" si="60"/>
        <v>0</v>
      </c>
      <c r="GC148" s="537">
        <f t="shared" si="60"/>
        <v>0</v>
      </c>
      <c r="GD148" s="537">
        <f t="shared" si="60"/>
        <v>0</v>
      </c>
      <c r="GE148" s="537">
        <f t="shared" si="60"/>
        <v>0</v>
      </c>
      <c r="GF148" s="537">
        <f t="shared" si="60"/>
        <v>0</v>
      </c>
      <c r="GG148" s="537">
        <f t="shared" si="60"/>
        <v>0</v>
      </c>
      <c r="GH148" s="537">
        <f t="shared" si="60"/>
        <v>0</v>
      </c>
      <c r="GI148" s="537">
        <f t="shared" si="60"/>
        <v>0</v>
      </c>
      <c r="GJ148" s="537">
        <f t="shared" si="60"/>
        <v>0</v>
      </c>
    </row>
    <row r="149" spans="5:192" ht="12.75">
      <c r="E149" s="535" t="str">
        <f>E$108</f>
        <v>End of financial year flag</v>
      </c>
      <c r="G149" s="537" t="str">
        <f>G$108</f>
        <v>flag</v>
      </c>
      <c r="H149" s="537">
        <f>H$108</f>
        <v>40</v>
      </c>
      <c r="J149" s="537">
        <f t="shared" si="61" ref="J149:GJ149">J$108</f>
        <v>0</v>
      </c>
      <c r="K149" s="537">
        <f t="shared" si="61"/>
        <v>0</v>
      </c>
      <c r="L149" s="537">
        <f t="shared" si="61"/>
        <v>0</v>
      </c>
      <c r="M149" s="537">
        <f t="shared" si="61"/>
        <v>0</v>
      </c>
      <c r="N149" s="537">
        <f t="shared" si="61"/>
        <v>0</v>
      </c>
      <c r="O149" s="537">
        <f t="shared" si="61"/>
        <v>0</v>
      </c>
      <c r="P149" s="537">
        <f t="shared" si="61"/>
        <v>0</v>
      </c>
      <c r="Q149" s="537">
        <f t="shared" si="61"/>
        <v>0</v>
      </c>
      <c r="R149" s="537">
        <f t="shared" si="61"/>
        <v>0</v>
      </c>
      <c r="S149" s="537">
        <f t="shared" si="61"/>
        <v>0</v>
      </c>
      <c r="T149" s="537">
        <f t="shared" si="61"/>
        <v>0</v>
      </c>
      <c r="U149" s="537">
        <f t="shared" si="61"/>
        <v>1</v>
      </c>
      <c r="V149" s="537">
        <f t="shared" si="61"/>
        <v>0</v>
      </c>
      <c r="W149" s="537">
        <f t="shared" si="61"/>
        <v>0</v>
      </c>
      <c r="X149" s="537">
        <f t="shared" si="61"/>
        <v>0</v>
      </c>
      <c r="Y149" s="537">
        <f t="shared" si="61"/>
        <v>0</v>
      </c>
      <c r="Z149" s="537">
        <f t="shared" si="61"/>
        <v>0</v>
      </c>
      <c r="AA149" s="537">
        <f t="shared" si="61"/>
        <v>0</v>
      </c>
      <c r="AB149" s="537">
        <f t="shared" si="61"/>
        <v>0</v>
      </c>
      <c r="AC149" s="537">
        <f t="shared" si="61"/>
        <v>0</v>
      </c>
      <c r="AD149" s="537">
        <f t="shared" si="61"/>
        <v>0</v>
      </c>
      <c r="AE149" s="537">
        <f t="shared" si="61"/>
        <v>0</v>
      </c>
      <c r="AF149" s="537">
        <f t="shared" si="61"/>
        <v>0</v>
      </c>
      <c r="AG149" s="537">
        <f t="shared" si="61"/>
        <v>1</v>
      </c>
      <c r="AH149" s="537">
        <f t="shared" si="61"/>
        <v>0</v>
      </c>
      <c r="AI149" s="537">
        <f t="shared" si="61"/>
        <v>0</v>
      </c>
      <c r="AJ149" s="537">
        <f t="shared" si="61"/>
        <v>0</v>
      </c>
      <c r="AK149" s="537">
        <f t="shared" si="61"/>
        <v>0</v>
      </c>
      <c r="AL149" s="537">
        <f t="shared" si="61"/>
        <v>0</v>
      </c>
      <c r="AM149" s="537">
        <f t="shared" si="61"/>
        <v>0</v>
      </c>
      <c r="AN149" s="537">
        <f t="shared" si="61"/>
        <v>0</v>
      </c>
      <c r="AO149" s="537">
        <f t="shared" si="61"/>
        <v>1</v>
      </c>
      <c r="AP149" s="537">
        <f t="shared" si="61"/>
        <v>0</v>
      </c>
      <c r="AQ149" s="537">
        <f t="shared" si="61"/>
        <v>0</v>
      </c>
      <c r="AR149" s="537">
        <f t="shared" si="61"/>
        <v>0</v>
      </c>
      <c r="AS149" s="537">
        <f t="shared" si="61"/>
        <v>1</v>
      </c>
      <c r="AT149" s="537">
        <f t="shared" si="61"/>
        <v>0</v>
      </c>
      <c r="AU149" s="537">
        <f t="shared" si="61"/>
        <v>0</v>
      </c>
      <c r="AV149" s="537">
        <f t="shared" si="61"/>
        <v>0</v>
      </c>
      <c r="AW149" s="537">
        <f t="shared" si="61"/>
        <v>1</v>
      </c>
      <c r="AX149" s="537">
        <f t="shared" si="61"/>
        <v>0</v>
      </c>
      <c r="AY149" s="537">
        <f t="shared" si="61"/>
        <v>0</v>
      </c>
      <c r="AZ149" s="537">
        <f t="shared" si="61"/>
        <v>0</v>
      </c>
      <c r="BA149" s="537">
        <f t="shared" si="61"/>
        <v>1</v>
      </c>
      <c r="BB149" s="537">
        <f t="shared" si="61"/>
        <v>0</v>
      </c>
      <c r="BC149" s="537">
        <f t="shared" si="61"/>
        <v>0</v>
      </c>
      <c r="BD149" s="537">
        <f t="shared" si="61"/>
        <v>0</v>
      </c>
      <c r="BE149" s="537">
        <f t="shared" si="61"/>
        <v>1</v>
      </c>
      <c r="BF149" s="537">
        <f t="shared" si="61"/>
        <v>0</v>
      </c>
      <c r="BG149" s="537">
        <f t="shared" si="61"/>
        <v>0</v>
      </c>
      <c r="BH149" s="537">
        <f t="shared" si="61"/>
        <v>0</v>
      </c>
      <c r="BI149" s="537">
        <f t="shared" si="61"/>
        <v>1</v>
      </c>
      <c r="BJ149" s="537">
        <f t="shared" si="61"/>
        <v>0</v>
      </c>
      <c r="BK149" s="537">
        <f t="shared" si="61"/>
        <v>0</v>
      </c>
      <c r="BL149" s="537">
        <f t="shared" si="61"/>
        <v>0</v>
      </c>
      <c r="BM149" s="537">
        <f t="shared" si="61"/>
        <v>1</v>
      </c>
      <c r="BN149" s="537">
        <f t="shared" si="61"/>
        <v>0</v>
      </c>
      <c r="BO149" s="537">
        <f t="shared" si="61"/>
        <v>0</v>
      </c>
      <c r="BP149" s="537">
        <f t="shared" si="61"/>
        <v>0</v>
      </c>
      <c r="BQ149" s="537">
        <f t="shared" si="61"/>
        <v>1</v>
      </c>
      <c r="BR149" s="537">
        <f t="shared" si="61"/>
        <v>0</v>
      </c>
      <c r="BS149" s="537">
        <f t="shared" si="61"/>
        <v>0</v>
      </c>
      <c r="BT149" s="537">
        <f t="shared" si="61"/>
        <v>0</v>
      </c>
      <c r="BU149" s="537">
        <f t="shared" si="61"/>
        <v>1</v>
      </c>
      <c r="BV149" s="537">
        <f t="shared" si="61"/>
        <v>0</v>
      </c>
      <c r="BW149" s="537">
        <f t="shared" si="61"/>
        <v>0</v>
      </c>
      <c r="BX149" s="537">
        <f t="shared" si="61"/>
        <v>0</v>
      </c>
      <c r="BY149" s="537">
        <f t="shared" si="61"/>
        <v>1</v>
      </c>
      <c r="BZ149" s="537">
        <f t="shared" si="61"/>
        <v>0</v>
      </c>
      <c r="CA149" s="537">
        <f t="shared" si="61"/>
        <v>0</v>
      </c>
      <c r="CB149" s="537">
        <f t="shared" si="61"/>
        <v>0</v>
      </c>
      <c r="CC149" s="537">
        <f t="shared" si="61"/>
        <v>1</v>
      </c>
      <c r="CD149" s="537">
        <f t="shared" si="61"/>
        <v>0</v>
      </c>
      <c r="CE149" s="537">
        <f t="shared" si="61"/>
        <v>0</v>
      </c>
      <c r="CF149" s="537">
        <f t="shared" si="61"/>
        <v>0</v>
      </c>
      <c r="CG149" s="537">
        <f t="shared" si="61"/>
        <v>1</v>
      </c>
      <c r="CH149" s="537">
        <f t="shared" si="61"/>
        <v>0</v>
      </c>
      <c r="CI149" s="537">
        <f t="shared" si="61"/>
        <v>0</v>
      </c>
      <c r="CJ149" s="537">
        <f t="shared" si="61"/>
        <v>0</v>
      </c>
      <c r="CK149" s="537">
        <f t="shared" si="61"/>
        <v>1</v>
      </c>
      <c r="CL149" s="537">
        <f t="shared" si="61"/>
        <v>0</v>
      </c>
      <c r="CM149" s="537">
        <f t="shared" si="61"/>
        <v>0</v>
      </c>
      <c r="CN149" s="537">
        <f t="shared" si="61"/>
        <v>0</v>
      </c>
      <c r="CO149" s="537">
        <f t="shared" si="61"/>
        <v>1</v>
      </c>
      <c r="CP149" s="537">
        <f t="shared" si="61"/>
        <v>0</v>
      </c>
      <c r="CQ149" s="537">
        <f t="shared" si="61"/>
        <v>0</v>
      </c>
      <c r="CR149" s="537">
        <f t="shared" si="61"/>
        <v>0</v>
      </c>
      <c r="CS149" s="537">
        <f t="shared" si="61"/>
        <v>1</v>
      </c>
      <c r="CT149" s="537">
        <f t="shared" si="61"/>
        <v>0</v>
      </c>
      <c r="CU149" s="537">
        <f t="shared" si="61"/>
        <v>0</v>
      </c>
      <c r="CV149" s="537">
        <f t="shared" si="61"/>
        <v>0</v>
      </c>
      <c r="CW149" s="537">
        <f t="shared" si="61"/>
        <v>1</v>
      </c>
      <c r="CX149" s="537">
        <f t="shared" si="61"/>
        <v>0</v>
      </c>
      <c r="CY149" s="537">
        <f t="shared" si="61"/>
        <v>0</v>
      </c>
      <c r="CZ149" s="537">
        <f t="shared" si="61"/>
        <v>0</v>
      </c>
      <c r="DA149" s="537">
        <f t="shared" si="61"/>
        <v>1</v>
      </c>
      <c r="DB149" s="537">
        <f t="shared" si="61"/>
        <v>0</v>
      </c>
      <c r="DC149" s="537">
        <f t="shared" si="61"/>
        <v>0</v>
      </c>
      <c r="DD149" s="537">
        <f t="shared" si="61"/>
        <v>0</v>
      </c>
      <c r="DE149" s="537">
        <f t="shared" si="61"/>
        <v>1</v>
      </c>
      <c r="DF149" s="537">
        <f t="shared" si="61"/>
        <v>0</v>
      </c>
      <c r="DG149" s="537">
        <f t="shared" si="61"/>
        <v>0</v>
      </c>
      <c r="DH149" s="537">
        <f t="shared" si="61"/>
        <v>0</v>
      </c>
      <c r="DI149" s="537">
        <f t="shared" si="61"/>
        <v>1</v>
      </c>
      <c r="DJ149" s="537">
        <f t="shared" si="61"/>
        <v>0</v>
      </c>
      <c r="DK149" s="537">
        <f t="shared" si="61"/>
        <v>0</v>
      </c>
      <c r="DL149" s="537">
        <f t="shared" si="61"/>
        <v>0</v>
      </c>
      <c r="DM149" s="537">
        <f t="shared" si="61"/>
        <v>1</v>
      </c>
      <c r="DN149" s="537">
        <f t="shared" si="61"/>
        <v>0</v>
      </c>
      <c r="DO149" s="537">
        <f t="shared" si="61"/>
        <v>0</v>
      </c>
      <c r="DP149" s="537">
        <f t="shared" si="61"/>
        <v>0</v>
      </c>
      <c r="DQ149" s="537">
        <f t="shared" si="61"/>
        <v>1</v>
      </c>
      <c r="DR149" s="537">
        <f t="shared" si="61"/>
        <v>0</v>
      </c>
      <c r="DS149" s="537">
        <f t="shared" si="61"/>
        <v>0</v>
      </c>
      <c r="DT149" s="537">
        <f t="shared" si="61"/>
        <v>0</v>
      </c>
      <c r="DU149" s="537">
        <f t="shared" si="61"/>
        <v>1</v>
      </c>
      <c r="DV149" s="537">
        <f t="shared" si="61"/>
        <v>0</v>
      </c>
      <c r="DW149" s="537">
        <f t="shared" si="61"/>
        <v>0</v>
      </c>
      <c r="DX149" s="537">
        <f t="shared" si="61"/>
        <v>0</v>
      </c>
      <c r="DY149" s="537">
        <f t="shared" si="61"/>
        <v>1</v>
      </c>
      <c r="DZ149" s="537">
        <f t="shared" si="61"/>
        <v>0</v>
      </c>
      <c r="EA149" s="537">
        <f t="shared" si="61"/>
        <v>0</v>
      </c>
      <c r="EB149" s="537">
        <f t="shared" si="61"/>
        <v>0</v>
      </c>
      <c r="EC149" s="537">
        <f t="shared" si="61"/>
        <v>1</v>
      </c>
      <c r="ED149" s="537">
        <f t="shared" si="61"/>
        <v>0</v>
      </c>
      <c r="EE149" s="537">
        <f t="shared" si="61"/>
        <v>0</v>
      </c>
      <c r="EF149" s="537">
        <f t="shared" si="61"/>
        <v>0</v>
      </c>
      <c r="EG149" s="537">
        <f t="shared" si="61"/>
        <v>1</v>
      </c>
      <c r="EH149" s="537">
        <f t="shared" si="61"/>
        <v>0</v>
      </c>
      <c r="EI149" s="537">
        <f t="shared" si="61"/>
        <v>0</v>
      </c>
      <c r="EJ149" s="537">
        <f t="shared" si="61"/>
        <v>0</v>
      </c>
      <c r="EK149" s="537">
        <f t="shared" si="61"/>
        <v>1</v>
      </c>
      <c r="EL149" s="537">
        <f t="shared" si="61"/>
        <v>0</v>
      </c>
      <c r="EM149" s="537">
        <f t="shared" si="61"/>
        <v>0</v>
      </c>
      <c r="EN149" s="537">
        <f t="shared" si="61"/>
        <v>0</v>
      </c>
      <c r="EO149" s="537">
        <f t="shared" si="61"/>
        <v>1</v>
      </c>
      <c r="EP149" s="537">
        <f t="shared" si="61"/>
        <v>0</v>
      </c>
      <c r="EQ149" s="537">
        <f t="shared" si="61"/>
        <v>0</v>
      </c>
      <c r="ER149" s="537">
        <f t="shared" si="61"/>
        <v>0</v>
      </c>
      <c r="ES149" s="537">
        <f t="shared" si="61"/>
        <v>1</v>
      </c>
      <c r="ET149" s="537">
        <f t="shared" si="61"/>
        <v>0</v>
      </c>
      <c r="EU149" s="537">
        <f t="shared" si="61"/>
        <v>0</v>
      </c>
      <c r="EV149" s="537">
        <f t="shared" si="61"/>
        <v>0</v>
      </c>
      <c r="EW149" s="537">
        <f t="shared" si="61"/>
        <v>1</v>
      </c>
      <c r="EX149" s="537">
        <f t="shared" si="61"/>
        <v>0</v>
      </c>
      <c r="EY149" s="537">
        <f t="shared" si="61"/>
        <v>0</v>
      </c>
      <c r="EZ149" s="537">
        <f t="shared" si="61"/>
        <v>0</v>
      </c>
      <c r="FA149" s="537">
        <f t="shared" si="61"/>
        <v>1</v>
      </c>
      <c r="FB149" s="537">
        <f t="shared" si="61"/>
        <v>0</v>
      </c>
      <c r="FC149" s="537">
        <f t="shared" si="61"/>
        <v>0</v>
      </c>
      <c r="FD149" s="537">
        <f t="shared" si="61"/>
        <v>0</v>
      </c>
      <c r="FE149" s="537">
        <f t="shared" si="61"/>
        <v>1</v>
      </c>
      <c r="FF149" s="537">
        <f t="shared" si="61"/>
        <v>0</v>
      </c>
      <c r="FG149" s="537">
        <f t="shared" si="61"/>
        <v>0</v>
      </c>
      <c r="FH149" s="537">
        <f t="shared" si="61"/>
        <v>0</v>
      </c>
      <c r="FI149" s="537">
        <f t="shared" si="61"/>
        <v>1</v>
      </c>
      <c r="FJ149" s="537">
        <f t="shared" si="61"/>
        <v>0</v>
      </c>
      <c r="FK149" s="537">
        <f t="shared" si="61"/>
        <v>0</v>
      </c>
      <c r="FL149" s="537">
        <f t="shared" si="61"/>
        <v>0</v>
      </c>
      <c r="FM149" s="537">
        <f t="shared" si="61"/>
        <v>1</v>
      </c>
      <c r="FN149" s="537">
        <f t="shared" si="61"/>
        <v>0</v>
      </c>
      <c r="FO149" s="537">
        <f t="shared" si="61"/>
        <v>0</v>
      </c>
      <c r="FP149" s="537">
        <f t="shared" si="61"/>
        <v>0</v>
      </c>
      <c r="FQ149" s="537">
        <f t="shared" si="61"/>
        <v>1</v>
      </c>
      <c r="FR149" s="537">
        <f t="shared" si="61"/>
        <v>0</v>
      </c>
      <c r="FS149" s="537">
        <f t="shared" si="61"/>
        <v>0</v>
      </c>
      <c r="FT149" s="537">
        <f t="shared" si="61"/>
        <v>0</v>
      </c>
      <c r="FU149" s="537">
        <f t="shared" si="61"/>
        <v>1</v>
      </c>
      <c r="FV149" s="537">
        <f t="shared" si="61"/>
        <v>0</v>
      </c>
      <c r="FW149" s="537">
        <f t="shared" si="61"/>
        <v>0</v>
      </c>
      <c r="FX149" s="537">
        <f t="shared" si="61"/>
        <v>0</v>
      </c>
      <c r="FY149" s="537">
        <f t="shared" si="61"/>
        <v>1</v>
      </c>
      <c r="FZ149" s="537">
        <f t="shared" si="61"/>
        <v>0</v>
      </c>
      <c r="GA149" s="537">
        <f t="shared" si="61"/>
        <v>0</v>
      </c>
      <c r="GB149" s="537">
        <f t="shared" si="61"/>
        <v>0</v>
      </c>
      <c r="GC149" s="537">
        <f t="shared" si="61"/>
        <v>1</v>
      </c>
      <c r="GD149" s="537">
        <f t="shared" si="61"/>
        <v>0</v>
      </c>
      <c r="GE149" s="537">
        <f t="shared" si="61"/>
        <v>0</v>
      </c>
      <c r="GF149" s="537">
        <f t="shared" si="61"/>
        <v>0</v>
      </c>
      <c r="GG149" s="537">
        <f t="shared" si="61"/>
        <v>1</v>
      </c>
      <c r="GH149" s="537">
        <f t="shared" si="61"/>
        <v>0</v>
      </c>
      <c r="GI149" s="537">
        <f t="shared" si="61"/>
        <v>0</v>
      </c>
      <c r="GJ149" s="537">
        <f t="shared" si="61"/>
        <v>0</v>
      </c>
    </row>
    <row r="150" spans="5:192" ht="12.75">
      <c r="E150" s="535" t="s">
        <v>80</v>
      </c>
      <c r="G150" s="537" t="s">
        <v>46</v>
      </c>
      <c r="H150" s="537">
        <f>SUM(J150:GJ150)</f>
        <v>1250</v>
      </c>
      <c r="J150" s="537">
        <f t="shared" si="62" ref="J150:GJ150">(I150+I149)*J148</f>
        <v>0</v>
      </c>
      <c r="K150" s="537">
        <f t="shared" si="62"/>
        <v>0</v>
      </c>
      <c r="L150" s="537">
        <f t="shared" si="62"/>
        <v>0</v>
      </c>
      <c r="M150" s="537">
        <f t="shared" si="62"/>
        <v>0</v>
      </c>
      <c r="N150" s="537">
        <f t="shared" si="62"/>
        <v>0</v>
      </c>
      <c r="O150" s="537">
        <f t="shared" si="62"/>
        <v>0</v>
      </c>
      <c r="P150" s="537">
        <f t="shared" si="62"/>
        <v>0</v>
      </c>
      <c r="Q150" s="537">
        <f t="shared" si="62"/>
        <v>0</v>
      </c>
      <c r="R150" s="537">
        <f t="shared" si="62"/>
        <v>0</v>
      </c>
      <c r="S150" s="537">
        <f t="shared" si="62"/>
        <v>0</v>
      </c>
      <c r="T150" s="537">
        <f t="shared" si="62"/>
        <v>0</v>
      </c>
      <c r="U150" s="537">
        <f t="shared" si="62"/>
        <v>0</v>
      </c>
      <c r="V150" s="537">
        <f t="shared" si="62"/>
        <v>0</v>
      </c>
      <c r="W150" s="537">
        <f t="shared" si="62"/>
        <v>0</v>
      </c>
      <c r="X150" s="537">
        <f t="shared" si="62"/>
        <v>0</v>
      </c>
      <c r="Y150" s="537">
        <f t="shared" si="62"/>
        <v>0</v>
      </c>
      <c r="Z150" s="537">
        <f t="shared" si="62"/>
        <v>0</v>
      </c>
      <c r="AA150" s="537">
        <f t="shared" si="62"/>
        <v>0</v>
      </c>
      <c r="AB150" s="537">
        <f t="shared" si="62"/>
        <v>0</v>
      </c>
      <c r="AC150" s="537">
        <f t="shared" si="62"/>
        <v>0</v>
      </c>
      <c r="AD150" s="537">
        <f t="shared" si="62"/>
        <v>0</v>
      </c>
      <c r="AE150" s="537">
        <f t="shared" si="62"/>
        <v>0</v>
      </c>
      <c r="AF150" s="537">
        <f t="shared" si="62"/>
        <v>0</v>
      </c>
      <c r="AG150" s="537">
        <f t="shared" si="62"/>
        <v>0</v>
      </c>
      <c r="AH150" s="537">
        <f t="shared" si="62"/>
        <v>0</v>
      </c>
      <c r="AI150" s="537">
        <f t="shared" si="62"/>
        <v>0</v>
      </c>
      <c r="AJ150" s="537">
        <f t="shared" si="62"/>
        <v>0</v>
      </c>
      <c r="AK150" s="537">
        <f t="shared" si="62"/>
        <v>0</v>
      </c>
      <c r="AL150" s="537">
        <f t="shared" si="62"/>
        <v>0</v>
      </c>
      <c r="AM150" s="537">
        <f t="shared" si="62"/>
        <v>0</v>
      </c>
      <c r="AN150" s="537">
        <f t="shared" si="62"/>
        <v>0</v>
      </c>
      <c r="AO150" s="537">
        <f t="shared" si="62"/>
        <v>0</v>
      </c>
      <c r="AP150" s="537">
        <f t="shared" si="62"/>
        <v>1</v>
      </c>
      <c r="AQ150" s="537">
        <f t="shared" si="62"/>
        <v>1</v>
      </c>
      <c r="AR150" s="537">
        <f t="shared" si="62"/>
        <v>1</v>
      </c>
      <c r="AS150" s="537">
        <f t="shared" si="62"/>
        <v>1</v>
      </c>
      <c r="AT150" s="537">
        <f t="shared" si="62"/>
        <v>2</v>
      </c>
      <c r="AU150" s="537">
        <f t="shared" si="62"/>
        <v>2</v>
      </c>
      <c r="AV150" s="537">
        <f t="shared" si="62"/>
        <v>2</v>
      </c>
      <c r="AW150" s="537">
        <f t="shared" si="62"/>
        <v>2</v>
      </c>
      <c r="AX150" s="537">
        <f t="shared" si="62"/>
        <v>3</v>
      </c>
      <c r="AY150" s="537">
        <f t="shared" si="62"/>
        <v>3</v>
      </c>
      <c r="AZ150" s="537">
        <f t="shared" si="62"/>
        <v>3</v>
      </c>
      <c r="BA150" s="537">
        <f t="shared" si="62"/>
        <v>3</v>
      </c>
      <c r="BB150" s="537">
        <f t="shared" si="62"/>
        <v>4</v>
      </c>
      <c r="BC150" s="537">
        <f t="shared" si="62"/>
        <v>4</v>
      </c>
      <c r="BD150" s="537">
        <f t="shared" si="62"/>
        <v>4</v>
      </c>
      <c r="BE150" s="537">
        <f t="shared" si="62"/>
        <v>4</v>
      </c>
      <c r="BF150" s="537">
        <f t="shared" si="62"/>
        <v>5</v>
      </c>
      <c r="BG150" s="537">
        <f t="shared" si="62"/>
        <v>5</v>
      </c>
      <c r="BH150" s="537">
        <f t="shared" si="62"/>
        <v>5</v>
      </c>
      <c r="BI150" s="537">
        <f t="shared" si="62"/>
        <v>5</v>
      </c>
      <c r="BJ150" s="537">
        <f t="shared" si="62"/>
        <v>6</v>
      </c>
      <c r="BK150" s="537">
        <f t="shared" si="62"/>
        <v>6</v>
      </c>
      <c r="BL150" s="537">
        <f t="shared" si="62"/>
        <v>6</v>
      </c>
      <c r="BM150" s="537">
        <f t="shared" si="62"/>
        <v>6</v>
      </c>
      <c r="BN150" s="537">
        <f t="shared" si="62"/>
        <v>7</v>
      </c>
      <c r="BO150" s="537">
        <f t="shared" si="62"/>
        <v>7</v>
      </c>
      <c r="BP150" s="537">
        <f t="shared" si="62"/>
        <v>7</v>
      </c>
      <c r="BQ150" s="537">
        <f t="shared" si="62"/>
        <v>7</v>
      </c>
      <c r="BR150" s="537">
        <f t="shared" si="62"/>
        <v>8</v>
      </c>
      <c r="BS150" s="537">
        <f t="shared" si="62"/>
        <v>8</v>
      </c>
      <c r="BT150" s="537">
        <f t="shared" si="62"/>
        <v>8</v>
      </c>
      <c r="BU150" s="537">
        <f t="shared" si="62"/>
        <v>8</v>
      </c>
      <c r="BV150" s="537">
        <f t="shared" si="62"/>
        <v>9</v>
      </c>
      <c r="BW150" s="537">
        <f t="shared" si="62"/>
        <v>9</v>
      </c>
      <c r="BX150" s="537">
        <f t="shared" si="62"/>
        <v>9</v>
      </c>
      <c r="BY150" s="537">
        <f t="shared" si="62"/>
        <v>9</v>
      </c>
      <c r="BZ150" s="537">
        <f t="shared" si="62"/>
        <v>10</v>
      </c>
      <c r="CA150" s="537">
        <f t="shared" si="62"/>
        <v>10</v>
      </c>
      <c r="CB150" s="537">
        <f t="shared" si="62"/>
        <v>10</v>
      </c>
      <c r="CC150" s="537">
        <f t="shared" si="62"/>
        <v>10</v>
      </c>
      <c r="CD150" s="537">
        <f t="shared" si="62"/>
        <v>11</v>
      </c>
      <c r="CE150" s="537">
        <f t="shared" si="62"/>
        <v>11</v>
      </c>
      <c r="CF150" s="537">
        <f t="shared" si="62"/>
        <v>11</v>
      </c>
      <c r="CG150" s="537">
        <f t="shared" si="62"/>
        <v>11</v>
      </c>
      <c r="CH150" s="537">
        <f t="shared" si="62"/>
        <v>12</v>
      </c>
      <c r="CI150" s="537">
        <f t="shared" si="62"/>
        <v>12</v>
      </c>
      <c r="CJ150" s="537">
        <f t="shared" si="62"/>
        <v>12</v>
      </c>
      <c r="CK150" s="537">
        <f t="shared" si="62"/>
        <v>12</v>
      </c>
      <c r="CL150" s="537">
        <f t="shared" si="62"/>
        <v>13</v>
      </c>
      <c r="CM150" s="537">
        <f t="shared" si="62"/>
        <v>13</v>
      </c>
      <c r="CN150" s="537">
        <f t="shared" si="62"/>
        <v>13</v>
      </c>
      <c r="CO150" s="537">
        <f t="shared" si="62"/>
        <v>13</v>
      </c>
      <c r="CP150" s="537">
        <f t="shared" si="62"/>
        <v>14</v>
      </c>
      <c r="CQ150" s="537">
        <f t="shared" si="62"/>
        <v>14</v>
      </c>
      <c r="CR150" s="537">
        <f t="shared" si="62"/>
        <v>14</v>
      </c>
      <c r="CS150" s="537">
        <f t="shared" si="62"/>
        <v>14</v>
      </c>
      <c r="CT150" s="537">
        <f t="shared" si="62"/>
        <v>15</v>
      </c>
      <c r="CU150" s="537">
        <f t="shared" si="62"/>
        <v>15</v>
      </c>
      <c r="CV150" s="537">
        <f t="shared" si="62"/>
        <v>15</v>
      </c>
      <c r="CW150" s="537">
        <f t="shared" si="62"/>
        <v>15</v>
      </c>
      <c r="CX150" s="537">
        <f t="shared" si="62"/>
        <v>16</v>
      </c>
      <c r="CY150" s="537">
        <f t="shared" si="62"/>
        <v>16</v>
      </c>
      <c r="CZ150" s="537">
        <f t="shared" si="62"/>
        <v>16</v>
      </c>
      <c r="DA150" s="537">
        <f t="shared" si="62"/>
        <v>16</v>
      </c>
      <c r="DB150" s="537">
        <f t="shared" si="62"/>
        <v>17</v>
      </c>
      <c r="DC150" s="537">
        <f t="shared" si="62"/>
        <v>17</v>
      </c>
      <c r="DD150" s="537">
        <f t="shared" si="62"/>
        <v>17</v>
      </c>
      <c r="DE150" s="537">
        <f t="shared" si="62"/>
        <v>17</v>
      </c>
      <c r="DF150" s="537">
        <f t="shared" si="62"/>
        <v>18</v>
      </c>
      <c r="DG150" s="537">
        <f t="shared" si="62"/>
        <v>18</v>
      </c>
      <c r="DH150" s="537">
        <f t="shared" si="62"/>
        <v>18</v>
      </c>
      <c r="DI150" s="537">
        <f t="shared" si="62"/>
        <v>18</v>
      </c>
      <c r="DJ150" s="537">
        <f t="shared" si="62"/>
        <v>19</v>
      </c>
      <c r="DK150" s="537">
        <f t="shared" si="62"/>
        <v>19</v>
      </c>
      <c r="DL150" s="537">
        <f t="shared" si="62"/>
        <v>19</v>
      </c>
      <c r="DM150" s="537">
        <f t="shared" si="62"/>
        <v>19</v>
      </c>
      <c r="DN150" s="537">
        <f t="shared" si="62"/>
        <v>20</v>
      </c>
      <c r="DO150" s="537">
        <f t="shared" si="62"/>
        <v>20</v>
      </c>
      <c r="DP150" s="537">
        <f t="shared" si="62"/>
        <v>20</v>
      </c>
      <c r="DQ150" s="537">
        <f t="shared" si="62"/>
        <v>20</v>
      </c>
      <c r="DR150" s="537">
        <f t="shared" si="62"/>
        <v>21</v>
      </c>
      <c r="DS150" s="537">
        <f t="shared" si="62"/>
        <v>21</v>
      </c>
      <c r="DT150" s="537">
        <f t="shared" si="62"/>
        <v>21</v>
      </c>
      <c r="DU150" s="537">
        <f t="shared" si="62"/>
        <v>21</v>
      </c>
      <c r="DV150" s="537">
        <f t="shared" si="62"/>
        <v>22</v>
      </c>
      <c r="DW150" s="537">
        <f t="shared" si="62"/>
        <v>22</v>
      </c>
      <c r="DX150" s="537">
        <f t="shared" si="62"/>
        <v>22</v>
      </c>
      <c r="DY150" s="537">
        <f t="shared" si="62"/>
        <v>22</v>
      </c>
      <c r="DZ150" s="537">
        <f t="shared" si="62"/>
        <v>23</v>
      </c>
      <c r="EA150" s="537">
        <f t="shared" si="62"/>
        <v>23</v>
      </c>
      <c r="EB150" s="537">
        <f t="shared" si="62"/>
        <v>23</v>
      </c>
      <c r="EC150" s="537">
        <f t="shared" si="62"/>
        <v>23</v>
      </c>
      <c r="ED150" s="537">
        <f t="shared" si="62"/>
        <v>24</v>
      </c>
      <c r="EE150" s="537">
        <f t="shared" si="62"/>
        <v>24</v>
      </c>
      <c r="EF150" s="537">
        <f t="shared" si="62"/>
        <v>24</v>
      </c>
      <c r="EG150" s="537">
        <f t="shared" si="62"/>
        <v>24</v>
      </c>
      <c r="EH150" s="537">
        <f t="shared" si="62"/>
        <v>25</v>
      </c>
      <c r="EI150" s="537">
        <f t="shared" si="62"/>
        <v>25</v>
      </c>
      <c r="EJ150" s="537">
        <f t="shared" si="62"/>
        <v>0</v>
      </c>
      <c r="EK150" s="537">
        <f t="shared" si="62"/>
        <v>0</v>
      </c>
      <c r="EL150" s="537">
        <f t="shared" si="62"/>
        <v>0</v>
      </c>
      <c r="EM150" s="537">
        <f t="shared" si="62"/>
        <v>0</v>
      </c>
      <c r="EN150" s="537">
        <f t="shared" si="62"/>
        <v>0</v>
      </c>
      <c r="EO150" s="537">
        <f t="shared" si="62"/>
        <v>0</v>
      </c>
      <c r="EP150" s="537">
        <f t="shared" si="62"/>
        <v>0</v>
      </c>
      <c r="EQ150" s="537">
        <f t="shared" si="62"/>
        <v>0</v>
      </c>
      <c r="ER150" s="537">
        <f t="shared" si="62"/>
        <v>0</v>
      </c>
      <c r="ES150" s="537">
        <f t="shared" si="62"/>
        <v>0</v>
      </c>
      <c r="ET150" s="537">
        <f t="shared" si="62"/>
        <v>0</v>
      </c>
      <c r="EU150" s="537">
        <f t="shared" si="62"/>
        <v>0</v>
      </c>
      <c r="EV150" s="537">
        <f t="shared" si="62"/>
        <v>0</v>
      </c>
      <c r="EW150" s="537">
        <f t="shared" si="62"/>
        <v>0</v>
      </c>
      <c r="EX150" s="537">
        <f t="shared" si="62"/>
        <v>0</v>
      </c>
      <c r="EY150" s="537">
        <f t="shared" si="62"/>
        <v>0</v>
      </c>
      <c r="EZ150" s="537">
        <f t="shared" si="62"/>
        <v>0</v>
      </c>
      <c r="FA150" s="537">
        <f t="shared" si="62"/>
        <v>0</v>
      </c>
      <c r="FB150" s="537">
        <f t="shared" si="62"/>
        <v>0</v>
      </c>
      <c r="FC150" s="537">
        <f t="shared" si="62"/>
        <v>0</v>
      </c>
      <c r="FD150" s="537">
        <f t="shared" si="62"/>
        <v>0</v>
      </c>
      <c r="FE150" s="537">
        <f t="shared" si="62"/>
        <v>0</v>
      </c>
      <c r="FF150" s="537">
        <f t="shared" si="62"/>
        <v>0</v>
      </c>
      <c r="FG150" s="537">
        <f t="shared" si="62"/>
        <v>0</v>
      </c>
      <c r="FH150" s="537">
        <f t="shared" si="62"/>
        <v>0</v>
      </c>
      <c r="FI150" s="537">
        <f t="shared" si="62"/>
        <v>0</v>
      </c>
      <c r="FJ150" s="537">
        <f t="shared" si="62"/>
        <v>0</v>
      </c>
      <c r="FK150" s="537">
        <f t="shared" si="62"/>
        <v>0</v>
      </c>
      <c r="FL150" s="537">
        <f t="shared" si="62"/>
        <v>0</v>
      </c>
      <c r="FM150" s="537">
        <f t="shared" si="62"/>
        <v>0</v>
      </c>
      <c r="FN150" s="537">
        <f t="shared" si="62"/>
        <v>0</v>
      </c>
      <c r="FO150" s="537">
        <f t="shared" si="62"/>
        <v>0</v>
      </c>
      <c r="FP150" s="537">
        <f t="shared" si="62"/>
        <v>0</v>
      </c>
      <c r="FQ150" s="537">
        <f t="shared" si="62"/>
        <v>0</v>
      </c>
      <c r="FR150" s="537">
        <f t="shared" si="62"/>
        <v>0</v>
      </c>
      <c r="FS150" s="537">
        <f t="shared" si="62"/>
        <v>0</v>
      </c>
      <c r="FT150" s="537">
        <f t="shared" si="62"/>
        <v>0</v>
      </c>
      <c r="FU150" s="537">
        <f t="shared" si="62"/>
        <v>0</v>
      </c>
      <c r="FV150" s="537">
        <f t="shared" si="62"/>
        <v>0</v>
      </c>
      <c r="FW150" s="537">
        <f t="shared" si="62"/>
        <v>0</v>
      </c>
      <c r="FX150" s="537">
        <f t="shared" si="62"/>
        <v>0</v>
      </c>
      <c r="FY150" s="537">
        <f t="shared" si="62"/>
        <v>0</v>
      </c>
      <c r="FZ150" s="537">
        <f t="shared" si="62"/>
        <v>0</v>
      </c>
      <c r="GA150" s="537">
        <f t="shared" si="62"/>
        <v>0</v>
      </c>
      <c r="GB150" s="537">
        <f t="shared" si="62"/>
        <v>0</v>
      </c>
      <c r="GC150" s="537">
        <f t="shared" si="62"/>
        <v>0</v>
      </c>
      <c r="GD150" s="537">
        <f t="shared" si="62"/>
        <v>0</v>
      </c>
      <c r="GE150" s="537">
        <f t="shared" si="62"/>
        <v>0</v>
      </c>
      <c r="GF150" s="537">
        <f t="shared" si="62"/>
        <v>0</v>
      </c>
      <c r="GG150" s="537">
        <f t="shared" si="62"/>
        <v>0</v>
      </c>
      <c r="GH150" s="537">
        <f t="shared" si="62"/>
        <v>0</v>
      </c>
      <c r="GI150" s="537">
        <f t="shared" si="62"/>
        <v>0</v>
      </c>
      <c r="GJ150" s="537">
        <f t="shared" si="62"/>
        <v>0</v>
      </c>
    </row>
    <row r="153" spans="1:1" ht="12.75">
      <c r="A153" s="534" t="s">
        <v>81</v>
      </c>
    </row>
    <row r="155" spans="5:192" ht="12.75">
      <c r="E155" s="535" t="str">
        <f>E$72</f>
        <v>Construction period flag</v>
      </c>
      <c r="G155" s="537" t="str">
        <f>G$72</f>
        <v>flag</v>
      </c>
      <c r="H155" s="537">
        <f>H$72</f>
        <v>24</v>
      </c>
      <c r="J155" s="537">
        <f t="shared" si="63" ref="J155:GJ155">J$72</f>
        <v>0</v>
      </c>
      <c r="K155" s="537">
        <f t="shared" si="63"/>
        <v>0</v>
      </c>
      <c r="L155" s="537">
        <f t="shared" si="63"/>
        <v>0</v>
      </c>
      <c r="M155" s="537">
        <f t="shared" si="63"/>
        <v>0</v>
      </c>
      <c r="N155" s="537">
        <f t="shared" si="63"/>
        <v>0</v>
      </c>
      <c r="O155" s="537">
        <f t="shared" si="63"/>
        <v>0</v>
      </c>
      <c r="P155" s="537">
        <f t="shared" si="63"/>
        <v>1</v>
      </c>
      <c r="Q155" s="537">
        <f t="shared" si="63"/>
        <v>1</v>
      </c>
      <c r="R155" s="537">
        <f t="shared" si="63"/>
        <v>1</v>
      </c>
      <c r="S155" s="537">
        <f t="shared" si="63"/>
        <v>1</v>
      </c>
      <c r="T155" s="537">
        <f t="shared" si="63"/>
        <v>1</v>
      </c>
      <c r="U155" s="537">
        <f t="shared" si="63"/>
        <v>1</v>
      </c>
      <c r="V155" s="537">
        <f t="shared" si="63"/>
        <v>1</v>
      </c>
      <c r="W155" s="537">
        <f t="shared" si="63"/>
        <v>1</v>
      </c>
      <c r="X155" s="537">
        <f t="shared" si="63"/>
        <v>1</v>
      </c>
      <c r="Y155" s="537">
        <f t="shared" si="63"/>
        <v>1</v>
      </c>
      <c r="Z155" s="537">
        <f t="shared" si="63"/>
        <v>1</v>
      </c>
      <c r="AA155" s="537">
        <f t="shared" si="63"/>
        <v>1</v>
      </c>
      <c r="AB155" s="537">
        <f t="shared" si="63"/>
        <v>1</v>
      </c>
      <c r="AC155" s="537">
        <f t="shared" si="63"/>
        <v>1</v>
      </c>
      <c r="AD155" s="537">
        <f t="shared" si="63"/>
        <v>1</v>
      </c>
      <c r="AE155" s="537">
        <f t="shared" si="63"/>
        <v>1</v>
      </c>
      <c r="AF155" s="537">
        <f t="shared" si="63"/>
        <v>1</v>
      </c>
      <c r="AG155" s="537">
        <f t="shared" si="63"/>
        <v>1</v>
      </c>
      <c r="AH155" s="537">
        <f t="shared" si="63"/>
        <v>1</v>
      </c>
      <c r="AI155" s="537">
        <f t="shared" si="63"/>
        <v>1</v>
      </c>
      <c r="AJ155" s="537">
        <f t="shared" si="63"/>
        <v>1</v>
      </c>
      <c r="AK155" s="537">
        <f t="shared" si="63"/>
        <v>1</v>
      </c>
      <c r="AL155" s="537">
        <f t="shared" si="63"/>
        <v>1</v>
      </c>
      <c r="AM155" s="537">
        <f t="shared" si="63"/>
        <v>1</v>
      </c>
      <c r="AN155" s="537">
        <f t="shared" si="63"/>
        <v>0</v>
      </c>
      <c r="AO155" s="537">
        <f t="shared" si="63"/>
        <v>0</v>
      </c>
      <c r="AP155" s="537">
        <f t="shared" si="63"/>
        <v>0</v>
      </c>
      <c r="AQ155" s="537">
        <f t="shared" si="63"/>
        <v>0</v>
      </c>
      <c r="AR155" s="537">
        <f t="shared" si="63"/>
        <v>0</v>
      </c>
      <c r="AS155" s="537">
        <f t="shared" si="63"/>
        <v>0</v>
      </c>
      <c r="AT155" s="537">
        <f t="shared" si="63"/>
        <v>0</v>
      </c>
      <c r="AU155" s="537">
        <f t="shared" si="63"/>
        <v>0</v>
      </c>
      <c r="AV155" s="537">
        <f t="shared" si="63"/>
        <v>0</v>
      </c>
      <c r="AW155" s="537">
        <f t="shared" si="63"/>
        <v>0</v>
      </c>
      <c r="AX155" s="537">
        <f t="shared" si="63"/>
        <v>0</v>
      </c>
      <c r="AY155" s="537">
        <f t="shared" si="63"/>
        <v>0</v>
      </c>
      <c r="AZ155" s="537">
        <f t="shared" si="63"/>
        <v>0</v>
      </c>
      <c r="BA155" s="537">
        <f t="shared" si="63"/>
        <v>0</v>
      </c>
      <c r="BB155" s="537">
        <f t="shared" si="63"/>
        <v>0</v>
      </c>
      <c r="BC155" s="537">
        <f t="shared" si="63"/>
        <v>0</v>
      </c>
      <c r="BD155" s="537">
        <f t="shared" si="63"/>
        <v>0</v>
      </c>
      <c r="BE155" s="537">
        <f t="shared" si="63"/>
        <v>0</v>
      </c>
      <c r="BF155" s="537">
        <f t="shared" si="63"/>
        <v>0</v>
      </c>
      <c r="BG155" s="537">
        <f t="shared" si="63"/>
        <v>0</v>
      </c>
      <c r="BH155" s="537">
        <f t="shared" si="63"/>
        <v>0</v>
      </c>
      <c r="BI155" s="537">
        <f t="shared" si="63"/>
        <v>0</v>
      </c>
      <c r="BJ155" s="537">
        <f t="shared" si="63"/>
        <v>0</v>
      </c>
      <c r="BK155" s="537">
        <f t="shared" si="63"/>
        <v>0</v>
      </c>
      <c r="BL155" s="537">
        <f t="shared" si="63"/>
        <v>0</v>
      </c>
      <c r="BM155" s="537">
        <f t="shared" si="63"/>
        <v>0</v>
      </c>
      <c r="BN155" s="537">
        <f t="shared" si="63"/>
        <v>0</v>
      </c>
      <c r="BO155" s="537">
        <f t="shared" si="63"/>
        <v>0</v>
      </c>
      <c r="BP155" s="537">
        <f t="shared" si="63"/>
        <v>0</v>
      </c>
      <c r="BQ155" s="537">
        <f t="shared" si="63"/>
        <v>0</v>
      </c>
      <c r="BR155" s="537">
        <f t="shared" si="63"/>
        <v>0</v>
      </c>
      <c r="BS155" s="537">
        <f t="shared" si="63"/>
        <v>0</v>
      </c>
      <c r="BT155" s="537">
        <f t="shared" si="63"/>
        <v>0</v>
      </c>
      <c r="BU155" s="537">
        <f t="shared" si="63"/>
        <v>0</v>
      </c>
      <c r="BV155" s="537">
        <f t="shared" si="63"/>
        <v>0</v>
      </c>
      <c r="BW155" s="537">
        <f t="shared" si="63"/>
        <v>0</v>
      </c>
      <c r="BX155" s="537">
        <f t="shared" si="63"/>
        <v>0</v>
      </c>
      <c r="BY155" s="537">
        <f t="shared" si="63"/>
        <v>0</v>
      </c>
      <c r="BZ155" s="537">
        <f t="shared" si="63"/>
        <v>0</v>
      </c>
      <c r="CA155" s="537">
        <f t="shared" si="63"/>
        <v>0</v>
      </c>
      <c r="CB155" s="537">
        <f t="shared" si="63"/>
        <v>0</v>
      </c>
      <c r="CC155" s="537">
        <f t="shared" si="63"/>
        <v>0</v>
      </c>
      <c r="CD155" s="537">
        <f t="shared" si="63"/>
        <v>0</v>
      </c>
      <c r="CE155" s="537">
        <f t="shared" si="63"/>
        <v>0</v>
      </c>
      <c r="CF155" s="537">
        <f t="shared" si="63"/>
        <v>0</v>
      </c>
      <c r="CG155" s="537">
        <f t="shared" si="63"/>
        <v>0</v>
      </c>
      <c r="CH155" s="537">
        <f t="shared" si="63"/>
        <v>0</v>
      </c>
      <c r="CI155" s="537">
        <f t="shared" si="63"/>
        <v>0</v>
      </c>
      <c r="CJ155" s="537">
        <f t="shared" si="63"/>
        <v>0</v>
      </c>
      <c r="CK155" s="537">
        <f t="shared" si="63"/>
        <v>0</v>
      </c>
      <c r="CL155" s="537">
        <f t="shared" si="63"/>
        <v>0</v>
      </c>
      <c r="CM155" s="537">
        <f t="shared" si="63"/>
        <v>0</v>
      </c>
      <c r="CN155" s="537">
        <f t="shared" si="63"/>
        <v>0</v>
      </c>
      <c r="CO155" s="537">
        <f t="shared" si="63"/>
        <v>0</v>
      </c>
      <c r="CP155" s="537">
        <f t="shared" si="63"/>
        <v>0</v>
      </c>
      <c r="CQ155" s="537">
        <f t="shared" si="63"/>
        <v>0</v>
      </c>
      <c r="CR155" s="537">
        <f t="shared" si="63"/>
        <v>0</v>
      </c>
      <c r="CS155" s="537">
        <f t="shared" si="63"/>
        <v>0</v>
      </c>
      <c r="CT155" s="537">
        <f t="shared" si="63"/>
        <v>0</v>
      </c>
      <c r="CU155" s="537">
        <f t="shared" si="63"/>
        <v>0</v>
      </c>
      <c r="CV155" s="537">
        <f t="shared" si="63"/>
        <v>0</v>
      </c>
      <c r="CW155" s="537">
        <f t="shared" si="63"/>
        <v>0</v>
      </c>
      <c r="CX155" s="537">
        <f t="shared" si="63"/>
        <v>0</v>
      </c>
      <c r="CY155" s="537">
        <f t="shared" si="63"/>
        <v>0</v>
      </c>
      <c r="CZ155" s="537">
        <f t="shared" si="63"/>
        <v>0</v>
      </c>
      <c r="DA155" s="537">
        <f t="shared" si="63"/>
        <v>0</v>
      </c>
      <c r="DB155" s="537">
        <f t="shared" si="63"/>
        <v>0</v>
      </c>
      <c r="DC155" s="537">
        <f t="shared" si="63"/>
        <v>0</v>
      </c>
      <c r="DD155" s="537">
        <f t="shared" si="63"/>
        <v>0</v>
      </c>
      <c r="DE155" s="537">
        <f t="shared" si="63"/>
        <v>0</v>
      </c>
      <c r="DF155" s="537">
        <f t="shared" si="63"/>
        <v>0</v>
      </c>
      <c r="DG155" s="537">
        <f t="shared" si="63"/>
        <v>0</v>
      </c>
      <c r="DH155" s="537">
        <f t="shared" si="63"/>
        <v>0</v>
      </c>
      <c r="DI155" s="537">
        <f t="shared" si="63"/>
        <v>0</v>
      </c>
      <c r="DJ155" s="537">
        <f t="shared" si="63"/>
        <v>0</v>
      </c>
      <c r="DK155" s="537">
        <f t="shared" si="63"/>
        <v>0</v>
      </c>
      <c r="DL155" s="537">
        <f t="shared" si="63"/>
        <v>0</v>
      </c>
      <c r="DM155" s="537">
        <f t="shared" si="63"/>
        <v>0</v>
      </c>
      <c r="DN155" s="537">
        <f t="shared" si="63"/>
        <v>0</v>
      </c>
      <c r="DO155" s="537">
        <f t="shared" si="63"/>
        <v>0</v>
      </c>
      <c r="DP155" s="537">
        <f t="shared" si="63"/>
        <v>0</v>
      </c>
      <c r="DQ155" s="537">
        <f t="shared" si="63"/>
        <v>0</v>
      </c>
      <c r="DR155" s="537">
        <f t="shared" si="63"/>
        <v>0</v>
      </c>
      <c r="DS155" s="537">
        <f t="shared" si="63"/>
        <v>0</v>
      </c>
      <c r="DT155" s="537">
        <f t="shared" si="63"/>
        <v>0</v>
      </c>
      <c r="DU155" s="537">
        <f t="shared" si="63"/>
        <v>0</v>
      </c>
      <c r="DV155" s="537">
        <f t="shared" si="63"/>
        <v>0</v>
      </c>
      <c r="DW155" s="537">
        <f t="shared" si="63"/>
        <v>0</v>
      </c>
      <c r="DX155" s="537">
        <f t="shared" si="63"/>
        <v>0</v>
      </c>
      <c r="DY155" s="537">
        <f t="shared" si="63"/>
        <v>0</v>
      </c>
      <c r="DZ155" s="537">
        <f t="shared" si="63"/>
        <v>0</v>
      </c>
      <c r="EA155" s="537">
        <f t="shared" si="63"/>
        <v>0</v>
      </c>
      <c r="EB155" s="537">
        <f t="shared" si="63"/>
        <v>0</v>
      </c>
      <c r="EC155" s="537">
        <f t="shared" si="63"/>
        <v>0</v>
      </c>
      <c r="ED155" s="537">
        <f t="shared" si="63"/>
        <v>0</v>
      </c>
      <c r="EE155" s="537">
        <f t="shared" si="63"/>
        <v>0</v>
      </c>
      <c r="EF155" s="537">
        <f t="shared" si="63"/>
        <v>0</v>
      </c>
      <c r="EG155" s="537">
        <f t="shared" si="63"/>
        <v>0</v>
      </c>
      <c r="EH155" s="537">
        <f t="shared" si="63"/>
        <v>0</v>
      </c>
      <c r="EI155" s="537">
        <f t="shared" si="63"/>
        <v>0</v>
      </c>
      <c r="EJ155" s="537">
        <f t="shared" si="63"/>
        <v>0</v>
      </c>
      <c r="EK155" s="537">
        <f t="shared" si="63"/>
        <v>0</v>
      </c>
      <c r="EL155" s="537">
        <f t="shared" si="63"/>
        <v>0</v>
      </c>
      <c r="EM155" s="537">
        <f t="shared" si="63"/>
        <v>0</v>
      </c>
      <c r="EN155" s="537">
        <f t="shared" si="63"/>
        <v>0</v>
      </c>
      <c r="EO155" s="537">
        <f t="shared" si="63"/>
        <v>0</v>
      </c>
      <c r="EP155" s="537">
        <f t="shared" si="63"/>
        <v>0</v>
      </c>
      <c r="EQ155" s="537">
        <f t="shared" si="63"/>
        <v>0</v>
      </c>
      <c r="ER155" s="537">
        <f t="shared" si="63"/>
        <v>0</v>
      </c>
      <c r="ES155" s="537">
        <f t="shared" si="63"/>
        <v>0</v>
      </c>
      <c r="ET155" s="537">
        <f t="shared" si="63"/>
        <v>0</v>
      </c>
      <c r="EU155" s="537">
        <f t="shared" si="63"/>
        <v>0</v>
      </c>
      <c r="EV155" s="537">
        <f t="shared" si="63"/>
        <v>0</v>
      </c>
      <c r="EW155" s="537">
        <f t="shared" si="63"/>
        <v>0</v>
      </c>
      <c r="EX155" s="537">
        <f t="shared" si="63"/>
        <v>0</v>
      </c>
      <c r="EY155" s="537">
        <f t="shared" si="63"/>
        <v>0</v>
      </c>
      <c r="EZ155" s="537">
        <f t="shared" si="63"/>
        <v>0</v>
      </c>
      <c r="FA155" s="537">
        <f t="shared" si="63"/>
        <v>0</v>
      </c>
      <c r="FB155" s="537">
        <f t="shared" si="63"/>
        <v>0</v>
      </c>
      <c r="FC155" s="537">
        <f t="shared" si="63"/>
        <v>0</v>
      </c>
      <c r="FD155" s="537">
        <f t="shared" si="63"/>
        <v>0</v>
      </c>
      <c r="FE155" s="537">
        <f t="shared" si="63"/>
        <v>0</v>
      </c>
      <c r="FF155" s="537">
        <f t="shared" si="63"/>
        <v>0</v>
      </c>
      <c r="FG155" s="537">
        <f t="shared" si="63"/>
        <v>0</v>
      </c>
      <c r="FH155" s="537">
        <f t="shared" si="63"/>
        <v>0</v>
      </c>
      <c r="FI155" s="537">
        <f t="shared" si="63"/>
        <v>0</v>
      </c>
      <c r="FJ155" s="537">
        <f t="shared" si="63"/>
        <v>0</v>
      </c>
      <c r="FK155" s="537">
        <f t="shared" si="63"/>
        <v>0</v>
      </c>
      <c r="FL155" s="537">
        <f t="shared" si="63"/>
        <v>0</v>
      </c>
      <c r="FM155" s="537">
        <f t="shared" si="63"/>
        <v>0</v>
      </c>
      <c r="FN155" s="537">
        <f t="shared" si="63"/>
        <v>0</v>
      </c>
      <c r="FO155" s="537">
        <f t="shared" si="63"/>
        <v>0</v>
      </c>
      <c r="FP155" s="537">
        <f t="shared" si="63"/>
        <v>0</v>
      </c>
      <c r="FQ155" s="537">
        <f t="shared" si="63"/>
        <v>0</v>
      </c>
      <c r="FR155" s="537">
        <f t="shared" si="63"/>
        <v>0</v>
      </c>
      <c r="FS155" s="537">
        <f t="shared" si="63"/>
        <v>0</v>
      </c>
      <c r="FT155" s="537">
        <f t="shared" si="63"/>
        <v>0</v>
      </c>
      <c r="FU155" s="537">
        <f t="shared" si="63"/>
        <v>0</v>
      </c>
      <c r="FV155" s="537">
        <f t="shared" si="63"/>
        <v>0</v>
      </c>
      <c r="FW155" s="537">
        <f t="shared" si="63"/>
        <v>0</v>
      </c>
      <c r="FX155" s="537">
        <f t="shared" si="63"/>
        <v>0</v>
      </c>
      <c r="FY155" s="537">
        <f t="shared" si="63"/>
        <v>0</v>
      </c>
      <c r="FZ155" s="537">
        <f t="shared" si="63"/>
        <v>0</v>
      </c>
      <c r="GA155" s="537">
        <f t="shared" si="63"/>
        <v>0</v>
      </c>
      <c r="GB155" s="537">
        <f t="shared" si="63"/>
        <v>0</v>
      </c>
      <c r="GC155" s="537">
        <f t="shared" si="63"/>
        <v>0</v>
      </c>
      <c r="GD155" s="537">
        <f t="shared" si="63"/>
        <v>0</v>
      </c>
      <c r="GE155" s="537">
        <f t="shared" si="63"/>
        <v>0</v>
      </c>
      <c r="GF155" s="537">
        <f t="shared" si="63"/>
        <v>0</v>
      </c>
      <c r="GG155" s="537">
        <f t="shared" si="63"/>
        <v>0</v>
      </c>
      <c r="GH155" s="537">
        <f t="shared" si="63"/>
        <v>0</v>
      </c>
      <c r="GI155" s="537">
        <f t="shared" si="63"/>
        <v>0</v>
      </c>
      <c r="GJ155" s="537">
        <f t="shared" si="63"/>
        <v>0</v>
      </c>
    </row>
    <row r="156" spans="5:192" ht="12.75">
      <c r="E156" s="535" t="s">
        <v>82</v>
      </c>
      <c r="G156" s="537" t="s">
        <v>46</v>
      </c>
      <c r="H156" s="537">
        <f>SUM(J156:GJ156)</f>
        <v>300</v>
      </c>
      <c r="J156" s="537">
        <f t="shared" si="64" ref="J156:GJ156">(I156+J155)*J155</f>
        <v>0</v>
      </c>
      <c r="K156" s="537">
        <f t="shared" si="64"/>
        <v>0</v>
      </c>
      <c r="L156" s="537">
        <f t="shared" si="64"/>
        <v>0</v>
      </c>
      <c r="M156" s="537">
        <f t="shared" si="64"/>
        <v>0</v>
      </c>
      <c r="N156" s="537">
        <f t="shared" si="64"/>
        <v>0</v>
      </c>
      <c r="O156" s="537">
        <f t="shared" si="64"/>
        <v>0</v>
      </c>
      <c r="P156" s="537">
        <f t="shared" si="64"/>
        <v>1</v>
      </c>
      <c r="Q156" s="537">
        <f t="shared" si="64"/>
        <v>2</v>
      </c>
      <c r="R156" s="537">
        <f t="shared" si="64"/>
        <v>3</v>
      </c>
      <c r="S156" s="537">
        <f t="shared" si="64"/>
        <v>4</v>
      </c>
      <c r="T156" s="537">
        <f t="shared" si="64"/>
        <v>5</v>
      </c>
      <c r="U156" s="537">
        <f t="shared" si="64"/>
        <v>6</v>
      </c>
      <c r="V156" s="537">
        <f t="shared" si="64"/>
        <v>7</v>
      </c>
      <c r="W156" s="537">
        <f t="shared" si="64"/>
        <v>8</v>
      </c>
      <c r="X156" s="537">
        <f t="shared" si="64"/>
        <v>9</v>
      </c>
      <c r="Y156" s="537">
        <f t="shared" si="64"/>
        <v>10</v>
      </c>
      <c r="Z156" s="537">
        <f t="shared" si="64"/>
        <v>11</v>
      </c>
      <c r="AA156" s="537">
        <f t="shared" si="64"/>
        <v>12</v>
      </c>
      <c r="AB156" s="537">
        <f t="shared" si="64"/>
        <v>13</v>
      </c>
      <c r="AC156" s="537">
        <f t="shared" si="64"/>
        <v>14</v>
      </c>
      <c r="AD156" s="537">
        <f t="shared" si="64"/>
        <v>15</v>
      </c>
      <c r="AE156" s="537">
        <f t="shared" si="64"/>
        <v>16</v>
      </c>
      <c r="AF156" s="537">
        <f t="shared" si="64"/>
        <v>17</v>
      </c>
      <c r="AG156" s="537">
        <f t="shared" si="64"/>
        <v>18</v>
      </c>
      <c r="AH156" s="537">
        <f t="shared" si="64"/>
        <v>19</v>
      </c>
      <c r="AI156" s="537">
        <f t="shared" si="64"/>
        <v>20</v>
      </c>
      <c r="AJ156" s="537">
        <f t="shared" si="64"/>
        <v>21</v>
      </c>
      <c r="AK156" s="537">
        <f t="shared" si="64"/>
        <v>22</v>
      </c>
      <c r="AL156" s="537">
        <f t="shared" si="64"/>
        <v>23</v>
      </c>
      <c r="AM156" s="537">
        <f t="shared" si="64"/>
        <v>24</v>
      </c>
      <c r="AN156" s="537">
        <f t="shared" si="64"/>
        <v>0</v>
      </c>
      <c r="AO156" s="537">
        <f t="shared" si="64"/>
        <v>0</v>
      </c>
      <c r="AP156" s="537">
        <f t="shared" si="64"/>
        <v>0</v>
      </c>
      <c r="AQ156" s="537">
        <f t="shared" si="64"/>
        <v>0</v>
      </c>
      <c r="AR156" s="537">
        <f t="shared" si="64"/>
        <v>0</v>
      </c>
      <c r="AS156" s="537">
        <f t="shared" si="64"/>
        <v>0</v>
      </c>
      <c r="AT156" s="537">
        <f t="shared" si="64"/>
        <v>0</v>
      </c>
      <c r="AU156" s="537">
        <f t="shared" si="64"/>
        <v>0</v>
      </c>
      <c r="AV156" s="537">
        <f t="shared" si="64"/>
        <v>0</v>
      </c>
      <c r="AW156" s="537">
        <f t="shared" si="64"/>
        <v>0</v>
      </c>
      <c r="AX156" s="537">
        <f t="shared" si="64"/>
        <v>0</v>
      </c>
      <c r="AY156" s="537">
        <f t="shared" si="64"/>
        <v>0</v>
      </c>
      <c r="AZ156" s="537">
        <f t="shared" si="64"/>
        <v>0</v>
      </c>
      <c r="BA156" s="537">
        <f t="shared" si="64"/>
        <v>0</v>
      </c>
      <c r="BB156" s="537">
        <f t="shared" si="64"/>
        <v>0</v>
      </c>
      <c r="BC156" s="537">
        <f t="shared" si="64"/>
        <v>0</v>
      </c>
      <c r="BD156" s="537">
        <f t="shared" si="64"/>
        <v>0</v>
      </c>
      <c r="BE156" s="537">
        <f t="shared" si="64"/>
        <v>0</v>
      </c>
      <c r="BF156" s="537">
        <f t="shared" si="64"/>
        <v>0</v>
      </c>
      <c r="BG156" s="537">
        <f t="shared" si="64"/>
        <v>0</v>
      </c>
      <c r="BH156" s="537">
        <f t="shared" si="64"/>
        <v>0</v>
      </c>
      <c r="BI156" s="537">
        <f t="shared" si="64"/>
        <v>0</v>
      </c>
      <c r="BJ156" s="537">
        <f t="shared" si="64"/>
        <v>0</v>
      </c>
      <c r="BK156" s="537">
        <f t="shared" si="64"/>
        <v>0</v>
      </c>
      <c r="BL156" s="537">
        <f t="shared" si="64"/>
        <v>0</v>
      </c>
      <c r="BM156" s="537">
        <f t="shared" si="64"/>
        <v>0</v>
      </c>
      <c r="BN156" s="537">
        <f t="shared" si="64"/>
        <v>0</v>
      </c>
      <c r="BO156" s="537">
        <f t="shared" si="64"/>
        <v>0</v>
      </c>
      <c r="BP156" s="537">
        <f t="shared" si="64"/>
        <v>0</v>
      </c>
      <c r="BQ156" s="537">
        <f t="shared" si="64"/>
        <v>0</v>
      </c>
      <c r="BR156" s="537">
        <f t="shared" si="64"/>
        <v>0</v>
      </c>
      <c r="BS156" s="537">
        <f t="shared" si="64"/>
        <v>0</v>
      </c>
      <c r="BT156" s="537">
        <f t="shared" si="64"/>
        <v>0</v>
      </c>
      <c r="BU156" s="537">
        <f t="shared" si="64"/>
        <v>0</v>
      </c>
      <c r="BV156" s="537">
        <f t="shared" si="64"/>
        <v>0</v>
      </c>
      <c r="BW156" s="537">
        <f t="shared" si="64"/>
        <v>0</v>
      </c>
      <c r="BX156" s="537">
        <f t="shared" si="64"/>
        <v>0</v>
      </c>
      <c r="BY156" s="537">
        <f t="shared" si="64"/>
        <v>0</v>
      </c>
      <c r="BZ156" s="537">
        <f t="shared" si="64"/>
        <v>0</v>
      </c>
      <c r="CA156" s="537">
        <f t="shared" si="64"/>
        <v>0</v>
      </c>
      <c r="CB156" s="537">
        <f t="shared" si="64"/>
        <v>0</v>
      </c>
      <c r="CC156" s="537">
        <f t="shared" si="64"/>
        <v>0</v>
      </c>
      <c r="CD156" s="537">
        <f t="shared" si="64"/>
        <v>0</v>
      </c>
      <c r="CE156" s="537">
        <f t="shared" si="64"/>
        <v>0</v>
      </c>
      <c r="CF156" s="537">
        <f t="shared" si="64"/>
        <v>0</v>
      </c>
      <c r="CG156" s="537">
        <f t="shared" si="64"/>
        <v>0</v>
      </c>
      <c r="CH156" s="537">
        <f t="shared" si="64"/>
        <v>0</v>
      </c>
      <c r="CI156" s="537">
        <f t="shared" si="64"/>
        <v>0</v>
      </c>
      <c r="CJ156" s="537">
        <f t="shared" si="64"/>
        <v>0</v>
      </c>
      <c r="CK156" s="537">
        <f t="shared" si="64"/>
        <v>0</v>
      </c>
      <c r="CL156" s="537">
        <f t="shared" si="64"/>
        <v>0</v>
      </c>
      <c r="CM156" s="537">
        <f t="shared" si="64"/>
        <v>0</v>
      </c>
      <c r="CN156" s="537">
        <f t="shared" si="64"/>
        <v>0</v>
      </c>
      <c r="CO156" s="537">
        <f t="shared" si="64"/>
        <v>0</v>
      </c>
      <c r="CP156" s="537">
        <f t="shared" si="64"/>
        <v>0</v>
      </c>
      <c r="CQ156" s="537">
        <f t="shared" si="64"/>
        <v>0</v>
      </c>
      <c r="CR156" s="537">
        <f t="shared" si="64"/>
        <v>0</v>
      </c>
      <c r="CS156" s="537">
        <f t="shared" si="64"/>
        <v>0</v>
      </c>
      <c r="CT156" s="537">
        <f t="shared" si="64"/>
        <v>0</v>
      </c>
      <c r="CU156" s="537">
        <f t="shared" si="64"/>
        <v>0</v>
      </c>
      <c r="CV156" s="537">
        <f t="shared" si="64"/>
        <v>0</v>
      </c>
      <c r="CW156" s="537">
        <f t="shared" si="64"/>
        <v>0</v>
      </c>
      <c r="CX156" s="537">
        <f t="shared" si="64"/>
        <v>0</v>
      </c>
      <c r="CY156" s="537">
        <f t="shared" si="64"/>
        <v>0</v>
      </c>
      <c r="CZ156" s="537">
        <f t="shared" si="64"/>
        <v>0</v>
      </c>
      <c r="DA156" s="537">
        <f t="shared" si="64"/>
        <v>0</v>
      </c>
      <c r="DB156" s="537">
        <f t="shared" si="64"/>
        <v>0</v>
      </c>
      <c r="DC156" s="537">
        <f t="shared" si="64"/>
        <v>0</v>
      </c>
      <c r="DD156" s="537">
        <f t="shared" si="64"/>
        <v>0</v>
      </c>
      <c r="DE156" s="537">
        <f t="shared" si="64"/>
        <v>0</v>
      </c>
      <c r="DF156" s="537">
        <f t="shared" si="64"/>
        <v>0</v>
      </c>
      <c r="DG156" s="537">
        <f t="shared" si="64"/>
        <v>0</v>
      </c>
      <c r="DH156" s="537">
        <f t="shared" si="64"/>
        <v>0</v>
      </c>
      <c r="DI156" s="537">
        <f t="shared" si="64"/>
        <v>0</v>
      </c>
      <c r="DJ156" s="537">
        <f t="shared" si="64"/>
        <v>0</v>
      </c>
      <c r="DK156" s="537">
        <f t="shared" si="64"/>
        <v>0</v>
      </c>
      <c r="DL156" s="537">
        <f t="shared" si="64"/>
        <v>0</v>
      </c>
      <c r="DM156" s="537">
        <f t="shared" si="64"/>
        <v>0</v>
      </c>
      <c r="DN156" s="537">
        <f t="shared" si="64"/>
        <v>0</v>
      </c>
      <c r="DO156" s="537">
        <f t="shared" si="64"/>
        <v>0</v>
      </c>
      <c r="DP156" s="537">
        <f t="shared" si="64"/>
        <v>0</v>
      </c>
      <c r="DQ156" s="537">
        <f t="shared" si="64"/>
        <v>0</v>
      </c>
      <c r="DR156" s="537">
        <f t="shared" si="64"/>
        <v>0</v>
      </c>
      <c r="DS156" s="537">
        <f t="shared" si="64"/>
        <v>0</v>
      </c>
      <c r="DT156" s="537">
        <f t="shared" si="64"/>
        <v>0</v>
      </c>
      <c r="DU156" s="537">
        <f t="shared" si="64"/>
        <v>0</v>
      </c>
      <c r="DV156" s="537">
        <f t="shared" si="64"/>
        <v>0</v>
      </c>
      <c r="DW156" s="537">
        <f t="shared" si="64"/>
        <v>0</v>
      </c>
      <c r="DX156" s="537">
        <f t="shared" si="64"/>
        <v>0</v>
      </c>
      <c r="DY156" s="537">
        <f t="shared" si="64"/>
        <v>0</v>
      </c>
      <c r="DZ156" s="537">
        <f t="shared" si="64"/>
        <v>0</v>
      </c>
      <c r="EA156" s="537">
        <f t="shared" si="64"/>
        <v>0</v>
      </c>
      <c r="EB156" s="537">
        <f t="shared" si="64"/>
        <v>0</v>
      </c>
      <c r="EC156" s="537">
        <f t="shared" si="64"/>
        <v>0</v>
      </c>
      <c r="ED156" s="537">
        <f t="shared" si="64"/>
        <v>0</v>
      </c>
      <c r="EE156" s="537">
        <f t="shared" si="64"/>
        <v>0</v>
      </c>
      <c r="EF156" s="537">
        <f t="shared" si="64"/>
        <v>0</v>
      </c>
      <c r="EG156" s="537">
        <f t="shared" si="64"/>
        <v>0</v>
      </c>
      <c r="EH156" s="537">
        <f t="shared" si="64"/>
        <v>0</v>
      </c>
      <c r="EI156" s="537">
        <f t="shared" si="64"/>
        <v>0</v>
      </c>
      <c r="EJ156" s="537">
        <f t="shared" si="64"/>
        <v>0</v>
      </c>
      <c r="EK156" s="537">
        <f t="shared" si="64"/>
        <v>0</v>
      </c>
      <c r="EL156" s="537">
        <f t="shared" si="64"/>
        <v>0</v>
      </c>
      <c r="EM156" s="537">
        <f t="shared" si="64"/>
        <v>0</v>
      </c>
      <c r="EN156" s="537">
        <f t="shared" si="64"/>
        <v>0</v>
      </c>
      <c r="EO156" s="537">
        <f t="shared" si="64"/>
        <v>0</v>
      </c>
      <c r="EP156" s="537">
        <f t="shared" si="64"/>
        <v>0</v>
      </c>
      <c r="EQ156" s="537">
        <f t="shared" si="64"/>
        <v>0</v>
      </c>
      <c r="ER156" s="537">
        <f t="shared" si="64"/>
        <v>0</v>
      </c>
      <c r="ES156" s="537">
        <f t="shared" si="64"/>
        <v>0</v>
      </c>
      <c r="ET156" s="537">
        <f t="shared" si="64"/>
        <v>0</v>
      </c>
      <c r="EU156" s="537">
        <f t="shared" si="64"/>
        <v>0</v>
      </c>
      <c r="EV156" s="537">
        <f t="shared" si="64"/>
        <v>0</v>
      </c>
      <c r="EW156" s="537">
        <f t="shared" si="64"/>
        <v>0</v>
      </c>
      <c r="EX156" s="537">
        <f t="shared" si="64"/>
        <v>0</v>
      </c>
      <c r="EY156" s="537">
        <f t="shared" si="64"/>
        <v>0</v>
      </c>
      <c r="EZ156" s="537">
        <f t="shared" si="64"/>
        <v>0</v>
      </c>
      <c r="FA156" s="537">
        <f t="shared" si="64"/>
        <v>0</v>
      </c>
      <c r="FB156" s="537">
        <f t="shared" si="64"/>
        <v>0</v>
      </c>
      <c r="FC156" s="537">
        <f t="shared" si="64"/>
        <v>0</v>
      </c>
      <c r="FD156" s="537">
        <f t="shared" si="64"/>
        <v>0</v>
      </c>
      <c r="FE156" s="537">
        <f t="shared" si="64"/>
        <v>0</v>
      </c>
      <c r="FF156" s="537">
        <f t="shared" si="64"/>
        <v>0</v>
      </c>
      <c r="FG156" s="537">
        <f t="shared" si="64"/>
        <v>0</v>
      </c>
      <c r="FH156" s="537">
        <f t="shared" si="64"/>
        <v>0</v>
      </c>
      <c r="FI156" s="537">
        <f t="shared" si="64"/>
        <v>0</v>
      </c>
      <c r="FJ156" s="537">
        <f t="shared" si="64"/>
        <v>0</v>
      </c>
      <c r="FK156" s="537">
        <f t="shared" si="64"/>
        <v>0</v>
      </c>
      <c r="FL156" s="537">
        <f t="shared" si="64"/>
        <v>0</v>
      </c>
      <c r="FM156" s="537">
        <f t="shared" si="64"/>
        <v>0</v>
      </c>
      <c r="FN156" s="537">
        <f t="shared" si="64"/>
        <v>0</v>
      </c>
      <c r="FO156" s="537">
        <f t="shared" si="64"/>
        <v>0</v>
      </c>
      <c r="FP156" s="537">
        <f t="shared" si="64"/>
        <v>0</v>
      </c>
      <c r="FQ156" s="537">
        <f t="shared" si="64"/>
        <v>0</v>
      </c>
      <c r="FR156" s="537">
        <f t="shared" si="64"/>
        <v>0</v>
      </c>
      <c r="FS156" s="537">
        <f t="shared" si="64"/>
        <v>0</v>
      </c>
      <c r="FT156" s="537">
        <f t="shared" si="64"/>
        <v>0</v>
      </c>
      <c r="FU156" s="537">
        <f t="shared" si="64"/>
        <v>0</v>
      </c>
      <c r="FV156" s="537">
        <f t="shared" si="64"/>
        <v>0</v>
      </c>
      <c r="FW156" s="537">
        <f t="shared" si="64"/>
        <v>0</v>
      </c>
      <c r="FX156" s="537">
        <f t="shared" si="64"/>
        <v>0</v>
      </c>
      <c r="FY156" s="537">
        <f t="shared" si="64"/>
        <v>0</v>
      </c>
      <c r="FZ156" s="537">
        <f t="shared" si="64"/>
        <v>0</v>
      </c>
      <c r="GA156" s="537">
        <f t="shared" si="64"/>
        <v>0</v>
      </c>
      <c r="GB156" s="537">
        <f t="shared" si="64"/>
        <v>0</v>
      </c>
      <c r="GC156" s="537">
        <f t="shared" si="64"/>
        <v>0</v>
      </c>
      <c r="GD156" s="537">
        <f t="shared" si="64"/>
        <v>0</v>
      </c>
      <c r="GE156" s="537">
        <f t="shared" si="64"/>
        <v>0</v>
      </c>
      <c r="GF156" s="537">
        <f t="shared" si="64"/>
        <v>0</v>
      </c>
      <c r="GG156" s="537">
        <f t="shared" si="64"/>
        <v>0</v>
      </c>
      <c r="GH156" s="537">
        <f t="shared" si="64"/>
        <v>0</v>
      </c>
      <c r="GI156" s="537">
        <f t="shared" si="64"/>
        <v>0</v>
      </c>
      <c r="GJ156" s="537">
        <f t="shared" si="64"/>
        <v>0</v>
      </c>
    </row>
    <row r="159" spans="1:1" ht="12.75">
      <c r="A159" s="534" t="s">
        <v>83</v>
      </c>
    </row>
    <row r="161" spans="5:192" ht="12.75">
      <c r="E161" s="535" t="str">
        <f>E$45</f>
        <v>Model period beginning</v>
      </c>
      <c r="G161" s="540" t="str">
        <f>G$45</f>
        <v>date</v>
      </c>
      <c r="J161" s="540">
        <f t="shared" si="65" ref="J161:GJ161">J$45</f>
        <v>46023</v>
      </c>
      <c r="K161" s="540">
        <f t="shared" si="65"/>
        <v>46054</v>
      </c>
      <c r="L161" s="540">
        <f t="shared" si="65"/>
        <v>46082</v>
      </c>
      <c r="M161" s="540">
        <f t="shared" si="65"/>
        <v>46113</v>
      </c>
      <c r="N161" s="540">
        <f t="shared" si="65"/>
        <v>46143</v>
      </c>
      <c r="O161" s="540">
        <f t="shared" si="65"/>
        <v>46174</v>
      </c>
      <c r="P161" s="540">
        <f t="shared" si="65"/>
        <v>46204</v>
      </c>
      <c r="Q161" s="540">
        <f t="shared" si="65"/>
        <v>46235</v>
      </c>
      <c r="R161" s="540">
        <f t="shared" si="65"/>
        <v>46266</v>
      </c>
      <c r="S161" s="540">
        <f t="shared" si="65"/>
        <v>46296</v>
      </c>
      <c r="T161" s="540">
        <f t="shared" si="65"/>
        <v>46327</v>
      </c>
      <c r="U161" s="540">
        <f t="shared" si="65"/>
        <v>46357</v>
      </c>
      <c r="V161" s="540">
        <f t="shared" si="65"/>
        <v>46388</v>
      </c>
      <c r="W161" s="540">
        <f t="shared" si="65"/>
        <v>46419</v>
      </c>
      <c r="X161" s="540">
        <f t="shared" si="65"/>
        <v>46447</v>
      </c>
      <c r="Y161" s="540">
        <f t="shared" si="65"/>
        <v>46478</v>
      </c>
      <c r="Z161" s="540">
        <f t="shared" si="65"/>
        <v>46508</v>
      </c>
      <c r="AA161" s="540">
        <f t="shared" si="65"/>
        <v>46539</v>
      </c>
      <c r="AB161" s="540">
        <f t="shared" si="65"/>
        <v>46569</v>
      </c>
      <c r="AC161" s="540">
        <f t="shared" si="65"/>
        <v>46600</v>
      </c>
      <c r="AD161" s="540">
        <f t="shared" si="65"/>
        <v>46631</v>
      </c>
      <c r="AE161" s="540">
        <f t="shared" si="65"/>
        <v>46661</v>
      </c>
      <c r="AF161" s="540">
        <f t="shared" si="65"/>
        <v>46692</v>
      </c>
      <c r="AG161" s="540">
        <f t="shared" si="65"/>
        <v>46722</v>
      </c>
      <c r="AH161" s="540">
        <f t="shared" si="65"/>
        <v>46753</v>
      </c>
      <c r="AI161" s="540">
        <f t="shared" si="65"/>
        <v>46784</v>
      </c>
      <c r="AJ161" s="540">
        <f t="shared" si="65"/>
        <v>46813</v>
      </c>
      <c r="AK161" s="540">
        <f t="shared" si="65"/>
        <v>46844</v>
      </c>
      <c r="AL161" s="540">
        <f t="shared" si="65"/>
        <v>46874</v>
      </c>
      <c r="AM161" s="540">
        <f t="shared" si="65"/>
        <v>46905</v>
      </c>
      <c r="AN161" s="540">
        <f t="shared" si="65"/>
        <v>46935</v>
      </c>
      <c r="AO161" s="540">
        <f t="shared" si="65"/>
        <v>47027</v>
      </c>
      <c r="AP161" s="540">
        <f t="shared" si="65"/>
        <v>47119</v>
      </c>
      <c r="AQ161" s="540">
        <f t="shared" si="65"/>
        <v>47209</v>
      </c>
      <c r="AR161" s="540">
        <f t="shared" si="65"/>
        <v>47300</v>
      </c>
      <c r="AS161" s="540">
        <f t="shared" si="65"/>
        <v>47392</v>
      </c>
      <c r="AT161" s="540">
        <f t="shared" si="65"/>
        <v>47484</v>
      </c>
      <c r="AU161" s="540">
        <f t="shared" si="65"/>
        <v>47574</v>
      </c>
      <c r="AV161" s="540">
        <f t="shared" si="65"/>
        <v>47665</v>
      </c>
      <c r="AW161" s="540">
        <f t="shared" si="65"/>
        <v>47757</v>
      </c>
      <c r="AX161" s="540">
        <f t="shared" si="65"/>
        <v>47849</v>
      </c>
      <c r="AY161" s="540">
        <f t="shared" si="65"/>
        <v>47939</v>
      </c>
      <c r="AZ161" s="540">
        <f t="shared" si="65"/>
        <v>48030</v>
      </c>
      <c r="BA161" s="540">
        <f t="shared" si="65"/>
        <v>48122</v>
      </c>
      <c r="BB161" s="540">
        <f t="shared" si="65"/>
        <v>48214</v>
      </c>
      <c r="BC161" s="540">
        <f t="shared" si="65"/>
        <v>48305</v>
      </c>
      <c r="BD161" s="540">
        <f t="shared" si="65"/>
        <v>48396</v>
      </c>
      <c r="BE161" s="540">
        <f t="shared" si="65"/>
        <v>48488</v>
      </c>
      <c r="BF161" s="540">
        <f t="shared" si="65"/>
        <v>48580</v>
      </c>
      <c r="BG161" s="540">
        <f t="shared" si="65"/>
        <v>48670</v>
      </c>
      <c r="BH161" s="540">
        <f t="shared" si="65"/>
        <v>48761</v>
      </c>
      <c r="BI161" s="540">
        <f t="shared" si="65"/>
        <v>48853</v>
      </c>
      <c r="BJ161" s="540">
        <f t="shared" si="65"/>
        <v>48945</v>
      </c>
      <c r="BK161" s="540">
        <f t="shared" si="65"/>
        <v>49035</v>
      </c>
      <c r="BL161" s="540">
        <f t="shared" si="65"/>
        <v>49126</v>
      </c>
      <c r="BM161" s="540">
        <f t="shared" si="65"/>
        <v>49218</v>
      </c>
      <c r="BN161" s="540">
        <f t="shared" si="65"/>
        <v>49310</v>
      </c>
      <c r="BO161" s="540">
        <f t="shared" si="65"/>
        <v>49400</v>
      </c>
      <c r="BP161" s="540">
        <f t="shared" si="65"/>
        <v>49491</v>
      </c>
      <c r="BQ161" s="540">
        <f t="shared" si="65"/>
        <v>49583</v>
      </c>
      <c r="BR161" s="540">
        <f t="shared" si="65"/>
        <v>49675</v>
      </c>
      <c r="BS161" s="540">
        <f t="shared" si="65"/>
        <v>49766</v>
      </c>
      <c r="BT161" s="540">
        <f t="shared" si="65"/>
        <v>49857</v>
      </c>
      <c r="BU161" s="540">
        <f t="shared" si="65"/>
        <v>49949</v>
      </c>
      <c r="BV161" s="540">
        <f t="shared" si="65"/>
        <v>50041</v>
      </c>
      <c r="BW161" s="540">
        <f t="shared" si="65"/>
        <v>50131</v>
      </c>
      <c r="BX161" s="540">
        <f t="shared" si="65"/>
        <v>50222</v>
      </c>
      <c r="BY161" s="540">
        <f t="shared" si="65"/>
        <v>50314</v>
      </c>
      <c r="BZ161" s="540">
        <f t="shared" si="65"/>
        <v>50406</v>
      </c>
      <c r="CA161" s="540">
        <f t="shared" si="65"/>
        <v>50496</v>
      </c>
      <c r="CB161" s="540">
        <f t="shared" si="65"/>
        <v>50587</v>
      </c>
      <c r="CC161" s="540">
        <f t="shared" si="65"/>
        <v>50679</v>
      </c>
      <c r="CD161" s="540">
        <f t="shared" si="65"/>
        <v>50771</v>
      </c>
      <c r="CE161" s="540">
        <f t="shared" si="65"/>
        <v>50861</v>
      </c>
      <c r="CF161" s="540">
        <f t="shared" si="65"/>
        <v>50952</v>
      </c>
      <c r="CG161" s="540">
        <f t="shared" si="65"/>
        <v>51044</v>
      </c>
      <c r="CH161" s="540">
        <f t="shared" si="65"/>
        <v>51136</v>
      </c>
      <c r="CI161" s="540">
        <f t="shared" si="65"/>
        <v>51227</v>
      </c>
      <c r="CJ161" s="540">
        <f t="shared" si="65"/>
        <v>51318</v>
      </c>
      <c r="CK161" s="540">
        <f t="shared" si="65"/>
        <v>51410</v>
      </c>
      <c r="CL161" s="540">
        <f t="shared" si="65"/>
        <v>51502</v>
      </c>
      <c r="CM161" s="540">
        <f t="shared" si="65"/>
        <v>51592</v>
      </c>
      <c r="CN161" s="540">
        <f t="shared" si="65"/>
        <v>51683</v>
      </c>
      <c r="CO161" s="540">
        <f t="shared" si="65"/>
        <v>51775</v>
      </c>
      <c r="CP161" s="540">
        <f t="shared" si="65"/>
        <v>51867</v>
      </c>
      <c r="CQ161" s="540">
        <f t="shared" si="65"/>
        <v>51957</v>
      </c>
      <c r="CR161" s="540">
        <f t="shared" si="65"/>
        <v>52048</v>
      </c>
      <c r="CS161" s="540">
        <f t="shared" si="65"/>
        <v>52140</v>
      </c>
      <c r="CT161" s="540">
        <f t="shared" si="65"/>
        <v>52232</v>
      </c>
      <c r="CU161" s="540">
        <f t="shared" si="65"/>
        <v>52322</v>
      </c>
      <c r="CV161" s="540">
        <f t="shared" si="65"/>
        <v>52413</v>
      </c>
      <c r="CW161" s="540">
        <f t="shared" si="65"/>
        <v>52505</v>
      </c>
      <c r="CX161" s="540">
        <f t="shared" si="65"/>
        <v>52597</v>
      </c>
      <c r="CY161" s="540">
        <f t="shared" si="65"/>
        <v>52688</v>
      </c>
      <c r="CZ161" s="540">
        <f t="shared" si="65"/>
        <v>52779</v>
      </c>
      <c r="DA161" s="540">
        <f t="shared" si="65"/>
        <v>52871</v>
      </c>
      <c r="DB161" s="540">
        <f t="shared" si="65"/>
        <v>52963</v>
      </c>
      <c r="DC161" s="540">
        <f t="shared" si="65"/>
        <v>53053</v>
      </c>
      <c r="DD161" s="540">
        <f t="shared" si="65"/>
        <v>53144</v>
      </c>
      <c r="DE161" s="540">
        <f t="shared" si="65"/>
        <v>53236</v>
      </c>
      <c r="DF161" s="540">
        <f t="shared" si="65"/>
        <v>53328</v>
      </c>
      <c r="DG161" s="540">
        <f t="shared" si="65"/>
        <v>53418</v>
      </c>
      <c r="DH161" s="540">
        <f t="shared" si="65"/>
        <v>53509</v>
      </c>
      <c r="DI161" s="540">
        <f t="shared" si="65"/>
        <v>53601</v>
      </c>
      <c r="DJ161" s="540">
        <f t="shared" si="65"/>
        <v>53693</v>
      </c>
      <c r="DK161" s="540">
        <f t="shared" si="65"/>
        <v>53783</v>
      </c>
      <c r="DL161" s="540">
        <f t="shared" si="65"/>
        <v>53874</v>
      </c>
      <c r="DM161" s="540">
        <f t="shared" si="65"/>
        <v>53966</v>
      </c>
      <c r="DN161" s="540">
        <f t="shared" si="65"/>
        <v>54058</v>
      </c>
      <c r="DO161" s="540">
        <f t="shared" si="65"/>
        <v>54149</v>
      </c>
      <c r="DP161" s="540">
        <f t="shared" si="65"/>
        <v>54240</v>
      </c>
      <c r="DQ161" s="540">
        <f t="shared" si="65"/>
        <v>54332</v>
      </c>
      <c r="DR161" s="540">
        <f t="shared" si="65"/>
        <v>54424</v>
      </c>
      <c r="DS161" s="540">
        <f t="shared" si="65"/>
        <v>54514</v>
      </c>
      <c r="DT161" s="540">
        <f t="shared" si="65"/>
        <v>54605</v>
      </c>
      <c r="DU161" s="540">
        <f t="shared" si="65"/>
        <v>54697</v>
      </c>
      <c r="DV161" s="540">
        <f t="shared" si="65"/>
        <v>54789</v>
      </c>
      <c r="DW161" s="540">
        <f t="shared" si="65"/>
        <v>54879</v>
      </c>
      <c r="DX161" s="540">
        <f t="shared" si="65"/>
        <v>54970</v>
      </c>
      <c r="DY161" s="540">
        <f t="shared" si="65"/>
        <v>55062</v>
      </c>
      <c r="DZ161" s="540">
        <f t="shared" si="65"/>
        <v>55154</v>
      </c>
      <c r="EA161" s="540">
        <f t="shared" si="65"/>
        <v>55244</v>
      </c>
      <c r="EB161" s="540">
        <f t="shared" si="65"/>
        <v>55335</v>
      </c>
      <c r="EC161" s="540">
        <f t="shared" si="65"/>
        <v>55427</v>
      </c>
      <c r="ED161" s="540">
        <f t="shared" si="65"/>
        <v>55519</v>
      </c>
      <c r="EE161" s="540">
        <f t="shared" si="65"/>
        <v>55610</v>
      </c>
      <c r="EF161" s="540">
        <f t="shared" si="65"/>
        <v>55701</v>
      </c>
      <c r="EG161" s="540">
        <f t="shared" si="65"/>
        <v>55793</v>
      </c>
      <c r="EH161" s="540">
        <f t="shared" si="65"/>
        <v>55885</v>
      </c>
      <c r="EI161" s="540">
        <f t="shared" si="65"/>
        <v>55975</v>
      </c>
      <c r="EJ161" s="540">
        <f t="shared" si="65"/>
        <v>56066</v>
      </c>
      <c r="EK161" s="540">
        <f t="shared" si="65"/>
        <v>56158</v>
      </c>
      <c r="EL161" s="540">
        <f t="shared" si="65"/>
        <v>56250</v>
      </c>
      <c r="EM161" s="540">
        <f t="shared" si="65"/>
        <v>56340</v>
      </c>
      <c r="EN161" s="540">
        <f t="shared" si="65"/>
        <v>56431</v>
      </c>
      <c r="EO161" s="540">
        <f t="shared" si="65"/>
        <v>56523</v>
      </c>
      <c r="EP161" s="540">
        <f t="shared" si="65"/>
        <v>56615</v>
      </c>
      <c r="EQ161" s="540">
        <f t="shared" si="65"/>
        <v>56705</v>
      </c>
      <c r="ER161" s="540">
        <f t="shared" si="65"/>
        <v>56796</v>
      </c>
      <c r="ES161" s="540">
        <f t="shared" si="65"/>
        <v>56888</v>
      </c>
      <c r="ET161" s="540">
        <f t="shared" si="65"/>
        <v>56980</v>
      </c>
      <c r="EU161" s="540">
        <f t="shared" si="65"/>
        <v>57071</v>
      </c>
      <c r="EV161" s="540">
        <f t="shared" si="65"/>
        <v>57162</v>
      </c>
      <c r="EW161" s="540">
        <f t="shared" si="65"/>
        <v>57254</v>
      </c>
      <c r="EX161" s="540">
        <f t="shared" si="65"/>
        <v>57346</v>
      </c>
      <c r="EY161" s="540">
        <f t="shared" si="65"/>
        <v>57436</v>
      </c>
      <c r="EZ161" s="540">
        <f t="shared" si="65"/>
        <v>57527</v>
      </c>
      <c r="FA161" s="540">
        <f t="shared" si="65"/>
        <v>57619</v>
      </c>
      <c r="FB161" s="540">
        <f t="shared" si="65"/>
        <v>57711</v>
      </c>
      <c r="FC161" s="540">
        <f t="shared" si="65"/>
        <v>57801</v>
      </c>
      <c r="FD161" s="540">
        <f t="shared" si="65"/>
        <v>57892</v>
      </c>
      <c r="FE161" s="540">
        <f t="shared" si="65"/>
        <v>57984</v>
      </c>
      <c r="FF161" s="540">
        <f t="shared" si="65"/>
        <v>58076</v>
      </c>
      <c r="FG161" s="540">
        <f t="shared" si="65"/>
        <v>58166</v>
      </c>
      <c r="FH161" s="540">
        <f t="shared" si="65"/>
        <v>58257</v>
      </c>
      <c r="FI161" s="540">
        <f t="shared" si="65"/>
        <v>58349</v>
      </c>
      <c r="FJ161" s="540">
        <f t="shared" si="65"/>
        <v>58441</v>
      </c>
      <c r="FK161" s="540">
        <f t="shared" si="65"/>
        <v>58532</v>
      </c>
      <c r="FL161" s="540">
        <f t="shared" si="65"/>
        <v>58623</v>
      </c>
      <c r="FM161" s="540">
        <f t="shared" si="65"/>
        <v>58715</v>
      </c>
      <c r="FN161" s="540">
        <f t="shared" si="65"/>
        <v>58807</v>
      </c>
      <c r="FO161" s="540">
        <f t="shared" si="65"/>
        <v>58897</v>
      </c>
      <c r="FP161" s="540">
        <f t="shared" si="65"/>
        <v>58988</v>
      </c>
      <c r="FQ161" s="540">
        <f t="shared" si="65"/>
        <v>59080</v>
      </c>
      <c r="FR161" s="540">
        <f t="shared" si="65"/>
        <v>59172</v>
      </c>
      <c r="FS161" s="540">
        <f t="shared" si="65"/>
        <v>59262</v>
      </c>
      <c r="FT161" s="540">
        <f t="shared" si="65"/>
        <v>59353</v>
      </c>
      <c r="FU161" s="540">
        <f t="shared" si="65"/>
        <v>59445</v>
      </c>
      <c r="FV161" s="540">
        <f t="shared" si="65"/>
        <v>59537</v>
      </c>
      <c r="FW161" s="540">
        <f t="shared" si="65"/>
        <v>59627</v>
      </c>
      <c r="FX161" s="540">
        <f t="shared" si="65"/>
        <v>59718</v>
      </c>
      <c r="FY161" s="540">
        <f t="shared" si="65"/>
        <v>59810</v>
      </c>
      <c r="FZ161" s="540">
        <f t="shared" si="65"/>
        <v>59902</v>
      </c>
      <c r="GA161" s="540">
        <f t="shared" si="65"/>
        <v>59993</v>
      </c>
      <c r="GB161" s="540">
        <f t="shared" si="65"/>
        <v>60084</v>
      </c>
      <c r="GC161" s="540">
        <f t="shared" si="65"/>
        <v>60176</v>
      </c>
      <c r="GD161" s="540">
        <f t="shared" si="65"/>
        <v>60268</v>
      </c>
      <c r="GE161" s="540">
        <f t="shared" si="65"/>
        <v>60358</v>
      </c>
      <c r="GF161" s="540">
        <f t="shared" si="65"/>
        <v>60449</v>
      </c>
      <c r="GG161" s="540">
        <f t="shared" si="65"/>
        <v>60541</v>
      </c>
      <c r="GH161" s="540">
        <f t="shared" si="65"/>
        <v>60633</v>
      </c>
      <c r="GI161" s="540">
        <f t="shared" si="65"/>
        <v>60723</v>
      </c>
      <c r="GJ161" s="540">
        <f t="shared" si="65"/>
        <v>60814</v>
      </c>
    </row>
    <row r="162" spans="5:192" ht="12.75">
      <c r="E162" s="535" t="str">
        <f>E$50</f>
        <v>Model period ending</v>
      </c>
      <c r="G162" s="540" t="str">
        <f>G$50</f>
        <v>date</v>
      </c>
      <c r="J162" s="540">
        <f t="shared" si="66" ref="J162:GJ162">J$50</f>
        <v>46053</v>
      </c>
      <c r="K162" s="540">
        <f t="shared" si="66"/>
        <v>46081</v>
      </c>
      <c r="L162" s="540">
        <f t="shared" si="66"/>
        <v>46112</v>
      </c>
      <c r="M162" s="540">
        <f t="shared" si="66"/>
        <v>46142</v>
      </c>
      <c r="N162" s="540">
        <f t="shared" si="66"/>
        <v>46173</v>
      </c>
      <c r="O162" s="540">
        <f t="shared" si="66"/>
        <v>46203</v>
      </c>
      <c r="P162" s="540">
        <f t="shared" si="66"/>
        <v>46234</v>
      </c>
      <c r="Q162" s="540">
        <f t="shared" si="66"/>
        <v>46265</v>
      </c>
      <c r="R162" s="540">
        <f t="shared" si="66"/>
        <v>46295</v>
      </c>
      <c r="S162" s="540">
        <f t="shared" si="66"/>
        <v>46326</v>
      </c>
      <c r="T162" s="540">
        <f t="shared" si="66"/>
        <v>46356</v>
      </c>
      <c r="U162" s="540">
        <f t="shared" si="66"/>
        <v>46387</v>
      </c>
      <c r="V162" s="540">
        <f t="shared" si="66"/>
        <v>46418</v>
      </c>
      <c r="W162" s="540">
        <f t="shared" si="66"/>
        <v>46446</v>
      </c>
      <c r="X162" s="540">
        <f t="shared" si="66"/>
        <v>46477</v>
      </c>
      <c r="Y162" s="540">
        <f t="shared" si="66"/>
        <v>46507</v>
      </c>
      <c r="Z162" s="540">
        <f t="shared" si="66"/>
        <v>46538</v>
      </c>
      <c r="AA162" s="540">
        <f t="shared" si="66"/>
        <v>46568</v>
      </c>
      <c r="AB162" s="540">
        <f t="shared" si="66"/>
        <v>46599</v>
      </c>
      <c r="AC162" s="540">
        <f t="shared" si="66"/>
        <v>46630</v>
      </c>
      <c r="AD162" s="540">
        <f t="shared" si="66"/>
        <v>46660</v>
      </c>
      <c r="AE162" s="540">
        <f t="shared" si="66"/>
        <v>46691</v>
      </c>
      <c r="AF162" s="540">
        <f t="shared" si="66"/>
        <v>46721</v>
      </c>
      <c r="AG162" s="540">
        <f t="shared" si="66"/>
        <v>46752</v>
      </c>
      <c r="AH162" s="540">
        <f t="shared" si="66"/>
        <v>46783</v>
      </c>
      <c r="AI162" s="540">
        <f t="shared" si="66"/>
        <v>46812</v>
      </c>
      <c r="AJ162" s="540">
        <f t="shared" si="66"/>
        <v>46843</v>
      </c>
      <c r="AK162" s="540">
        <f t="shared" si="66"/>
        <v>46873</v>
      </c>
      <c r="AL162" s="540">
        <f t="shared" si="66"/>
        <v>46904</v>
      </c>
      <c r="AM162" s="540">
        <f t="shared" si="66"/>
        <v>46934</v>
      </c>
      <c r="AN162" s="540">
        <f t="shared" si="66"/>
        <v>47026</v>
      </c>
      <c r="AO162" s="540">
        <f t="shared" si="66"/>
        <v>47118</v>
      </c>
      <c r="AP162" s="540">
        <f t="shared" si="66"/>
        <v>47208</v>
      </c>
      <c r="AQ162" s="540">
        <f t="shared" si="66"/>
        <v>47299</v>
      </c>
      <c r="AR162" s="540">
        <f t="shared" si="66"/>
        <v>47391</v>
      </c>
      <c r="AS162" s="540">
        <f t="shared" si="66"/>
        <v>47483</v>
      </c>
      <c r="AT162" s="540">
        <f t="shared" si="66"/>
        <v>47573</v>
      </c>
      <c r="AU162" s="540">
        <f t="shared" si="66"/>
        <v>47664</v>
      </c>
      <c r="AV162" s="540">
        <f t="shared" si="66"/>
        <v>47756</v>
      </c>
      <c r="AW162" s="540">
        <f t="shared" si="66"/>
        <v>47848</v>
      </c>
      <c r="AX162" s="540">
        <f t="shared" si="66"/>
        <v>47938</v>
      </c>
      <c r="AY162" s="540">
        <f t="shared" si="66"/>
        <v>48029</v>
      </c>
      <c r="AZ162" s="540">
        <f t="shared" si="66"/>
        <v>48121</v>
      </c>
      <c r="BA162" s="540">
        <f t="shared" si="66"/>
        <v>48213</v>
      </c>
      <c r="BB162" s="540">
        <f t="shared" si="66"/>
        <v>48304</v>
      </c>
      <c r="BC162" s="540">
        <f t="shared" si="66"/>
        <v>48395</v>
      </c>
      <c r="BD162" s="540">
        <f t="shared" si="66"/>
        <v>48487</v>
      </c>
      <c r="BE162" s="540">
        <f t="shared" si="66"/>
        <v>48579</v>
      </c>
      <c r="BF162" s="540">
        <f t="shared" si="66"/>
        <v>48669</v>
      </c>
      <c r="BG162" s="540">
        <f t="shared" si="66"/>
        <v>48760</v>
      </c>
      <c r="BH162" s="540">
        <f t="shared" si="66"/>
        <v>48852</v>
      </c>
      <c r="BI162" s="540">
        <f t="shared" si="66"/>
        <v>48944</v>
      </c>
      <c r="BJ162" s="540">
        <f t="shared" si="66"/>
        <v>49034</v>
      </c>
      <c r="BK162" s="540">
        <f t="shared" si="66"/>
        <v>49125</v>
      </c>
      <c r="BL162" s="540">
        <f t="shared" si="66"/>
        <v>49217</v>
      </c>
      <c r="BM162" s="540">
        <f t="shared" si="66"/>
        <v>49309</v>
      </c>
      <c r="BN162" s="540">
        <f t="shared" si="66"/>
        <v>49399</v>
      </c>
      <c r="BO162" s="540">
        <f t="shared" si="66"/>
        <v>49490</v>
      </c>
      <c r="BP162" s="540">
        <f t="shared" si="66"/>
        <v>49582</v>
      </c>
      <c r="BQ162" s="540">
        <f t="shared" si="66"/>
        <v>49674</v>
      </c>
      <c r="BR162" s="540">
        <f t="shared" si="66"/>
        <v>49765</v>
      </c>
      <c r="BS162" s="540">
        <f t="shared" si="66"/>
        <v>49856</v>
      </c>
      <c r="BT162" s="540">
        <f t="shared" si="66"/>
        <v>49948</v>
      </c>
      <c r="BU162" s="540">
        <f t="shared" si="66"/>
        <v>50040</v>
      </c>
      <c r="BV162" s="540">
        <f t="shared" si="66"/>
        <v>50130</v>
      </c>
      <c r="BW162" s="540">
        <f t="shared" si="66"/>
        <v>50221</v>
      </c>
      <c r="BX162" s="540">
        <f t="shared" si="66"/>
        <v>50313</v>
      </c>
      <c r="BY162" s="540">
        <f t="shared" si="66"/>
        <v>50405</v>
      </c>
      <c r="BZ162" s="540">
        <f t="shared" si="66"/>
        <v>50495</v>
      </c>
      <c r="CA162" s="540">
        <f t="shared" si="66"/>
        <v>50586</v>
      </c>
      <c r="CB162" s="540">
        <f t="shared" si="66"/>
        <v>50678</v>
      </c>
      <c r="CC162" s="540">
        <f t="shared" si="66"/>
        <v>50770</v>
      </c>
      <c r="CD162" s="540">
        <f t="shared" si="66"/>
        <v>50860</v>
      </c>
      <c r="CE162" s="540">
        <f t="shared" si="66"/>
        <v>50951</v>
      </c>
      <c r="CF162" s="540">
        <f t="shared" si="66"/>
        <v>51043</v>
      </c>
      <c r="CG162" s="540">
        <f t="shared" si="66"/>
        <v>51135</v>
      </c>
      <c r="CH162" s="540">
        <f t="shared" si="66"/>
        <v>51226</v>
      </c>
      <c r="CI162" s="540">
        <f t="shared" si="66"/>
        <v>51317</v>
      </c>
      <c r="CJ162" s="540">
        <f t="shared" si="66"/>
        <v>51409</v>
      </c>
      <c r="CK162" s="540">
        <f t="shared" si="66"/>
        <v>51501</v>
      </c>
      <c r="CL162" s="540">
        <f t="shared" si="66"/>
        <v>51591</v>
      </c>
      <c r="CM162" s="540">
        <f t="shared" si="66"/>
        <v>51682</v>
      </c>
      <c r="CN162" s="540">
        <f t="shared" si="66"/>
        <v>51774</v>
      </c>
      <c r="CO162" s="540">
        <f t="shared" si="66"/>
        <v>51866</v>
      </c>
      <c r="CP162" s="540">
        <f t="shared" si="66"/>
        <v>51956</v>
      </c>
      <c r="CQ162" s="540">
        <f t="shared" si="66"/>
        <v>52047</v>
      </c>
      <c r="CR162" s="540">
        <f t="shared" si="66"/>
        <v>52139</v>
      </c>
      <c r="CS162" s="540">
        <f t="shared" si="66"/>
        <v>52231</v>
      </c>
      <c r="CT162" s="540">
        <f t="shared" si="66"/>
        <v>52321</v>
      </c>
      <c r="CU162" s="540">
        <f t="shared" si="66"/>
        <v>52412</v>
      </c>
      <c r="CV162" s="540">
        <f t="shared" si="66"/>
        <v>52504</v>
      </c>
      <c r="CW162" s="540">
        <f t="shared" si="66"/>
        <v>52596</v>
      </c>
      <c r="CX162" s="540">
        <f t="shared" si="66"/>
        <v>52687</v>
      </c>
      <c r="CY162" s="540">
        <f t="shared" si="66"/>
        <v>52778</v>
      </c>
      <c r="CZ162" s="540">
        <f t="shared" si="66"/>
        <v>52870</v>
      </c>
      <c r="DA162" s="540">
        <f t="shared" si="66"/>
        <v>52962</v>
      </c>
      <c r="DB162" s="540">
        <f t="shared" si="66"/>
        <v>53052</v>
      </c>
      <c r="DC162" s="540">
        <f t="shared" si="66"/>
        <v>53143</v>
      </c>
      <c r="DD162" s="540">
        <f t="shared" si="66"/>
        <v>53235</v>
      </c>
      <c r="DE162" s="540">
        <f t="shared" si="66"/>
        <v>53327</v>
      </c>
      <c r="DF162" s="540">
        <f t="shared" si="66"/>
        <v>53417</v>
      </c>
      <c r="DG162" s="540">
        <f t="shared" si="66"/>
        <v>53508</v>
      </c>
      <c r="DH162" s="540">
        <f t="shared" si="66"/>
        <v>53600</v>
      </c>
      <c r="DI162" s="540">
        <f t="shared" si="66"/>
        <v>53692</v>
      </c>
      <c r="DJ162" s="540">
        <f t="shared" si="66"/>
        <v>53782</v>
      </c>
      <c r="DK162" s="540">
        <f t="shared" si="66"/>
        <v>53873</v>
      </c>
      <c r="DL162" s="540">
        <f t="shared" si="66"/>
        <v>53965</v>
      </c>
      <c r="DM162" s="540">
        <f t="shared" si="66"/>
        <v>54057</v>
      </c>
      <c r="DN162" s="540">
        <f t="shared" si="66"/>
        <v>54148</v>
      </c>
      <c r="DO162" s="540">
        <f t="shared" si="66"/>
        <v>54239</v>
      </c>
      <c r="DP162" s="540">
        <f t="shared" si="66"/>
        <v>54331</v>
      </c>
      <c r="DQ162" s="540">
        <f t="shared" si="66"/>
        <v>54423</v>
      </c>
      <c r="DR162" s="540">
        <f t="shared" si="66"/>
        <v>54513</v>
      </c>
      <c r="DS162" s="540">
        <f t="shared" si="66"/>
        <v>54604</v>
      </c>
      <c r="DT162" s="540">
        <f t="shared" si="66"/>
        <v>54696</v>
      </c>
      <c r="DU162" s="540">
        <f t="shared" si="66"/>
        <v>54788</v>
      </c>
      <c r="DV162" s="540">
        <f t="shared" si="66"/>
        <v>54878</v>
      </c>
      <c r="DW162" s="540">
        <f t="shared" si="66"/>
        <v>54969</v>
      </c>
      <c r="DX162" s="540">
        <f t="shared" si="66"/>
        <v>55061</v>
      </c>
      <c r="DY162" s="540">
        <f t="shared" si="66"/>
        <v>55153</v>
      </c>
      <c r="DZ162" s="540">
        <f t="shared" si="66"/>
        <v>55243</v>
      </c>
      <c r="EA162" s="540">
        <f t="shared" si="66"/>
        <v>55334</v>
      </c>
      <c r="EB162" s="540">
        <f t="shared" si="66"/>
        <v>55426</v>
      </c>
      <c r="EC162" s="540">
        <f t="shared" si="66"/>
        <v>55518</v>
      </c>
      <c r="ED162" s="540">
        <f t="shared" si="66"/>
        <v>55609</v>
      </c>
      <c r="EE162" s="540">
        <f t="shared" si="66"/>
        <v>55700</v>
      </c>
      <c r="EF162" s="540">
        <f t="shared" si="66"/>
        <v>55792</v>
      </c>
      <c r="EG162" s="540">
        <f t="shared" si="66"/>
        <v>55884</v>
      </c>
      <c r="EH162" s="540">
        <f t="shared" si="66"/>
        <v>55974</v>
      </c>
      <c r="EI162" s="540">
        <f t="shared" si="66"/>
        <v>56065</v>
      </c>
      <c r="EJ162" s="540">
        <f t="shared" si="66"/>
        <v>56157</v>
      </c>
      <c r="EK162" s="540">
        <f t="shared" si="66"/>
        <v>56249</v>
      </c>
      <c r="EL162" s="540">
        <f t="shared" si="66"/>
        <v>56339</v>
      </c>
      <c r="EM162" s="540">
        <f t="shared" si="66"/>
        <v>56430</v>
      </c>
      <c r="EN162" s="540">
        <f t="shared" si="66"/>
        <v>56522</v>
      </c>
      <c r="EO162" s="540">
        <f t="shared" si="66"/>
        <v>56614</v>
      </c>
      <c r="EP162" s="540">
        <f t="shared" si="66"/>
        <v>56704</v>
      </c>
      <c r="EQ162" s="540">
        <f t="shared" si="66"/>
        <v>56795</v>
      </c>
      <c r="ER162" s="540">
        <f t="shared" si="66"/>
        <v>56887</v>
      </c>
      <c r="ES162" s="540">
        <f t="shared" si="66"/>
        <v>56979</v>
      </c>
      <c r="ET162" s="540">
        <f t="shared" si="66"/>
        <v>57070</v>
      </c>
      <c r="EU162" s="540">
        <f t="shared" si="66"/>
        <v>57161</v>
      </c>
      <c r="EV162" s="540">
        <f t="shared" si="66"/>
        <v>57253</v>
      </c>
      <c r="EW162" s="540">
        <f t="shared" si="66"/>
        <v>57345</v>
      </c>
      <c r="EX162" s="540">
        <f t="shared" si="66"/>
        <v>57435</v>
      </c>
      <c r="EY162" s="540">
        <f t="shared" si="66"/>
        <v>57526</v>
      </c>
      <c r="EZ162" s="540">
        <f t="shared" si="66"/>
        <v>57618</v>
      </c>
      <c r="FA162" s="540">
        <f t="shared" si="66"/>
        <v>57710</v>
      </c>
      <c r="FB162" s="540">
        <f t="shared" si="66"/>
        <v>57800</v>
      </c>
      <c r="FC162" s="540">
        <f t="shared" si="66"/>
        <v>57891</v>
      </c>
      <c r="FD162" s="540">
        <f t="shared" si="66"/>
        <v>57983</v>
      </c>
      <c r="FE162" s="540">
        <f t="shared" si="66"/>
        <v>58075</v>
      </c>
      <c r="FF162" s="540">
        <f t="shared" si="66"/>
        <v>58165</v>
      </c>
      <c r="FG162" s="540">
        <f t="shared" si="66"/>
        <v>58256</v>
      </c>
      <c r="FH162" s="540">
        <f t="shared" si="66"/>
        <v>58348</v>
      </c>
      <c r="FI162" s="540">
        <f t="shared" si="66"/>
        <v>58440</v>
      </c>
      <c r="FJ162" s="540">
        <f t="shared" si="66"/>
        <v>58531</v>
      </c>
      <c r="FK162" s="540">
        <f t="shared" si="66"/>
        <v>58622</v>
      </c>
      <c r="FL162" s="540">
        <f t="shared" si="66"/>
        <v>58714</v>
      </c>
      <c r="FM162" s="540">
        <f t="shared" si="66"/>
        <v>58806</v>
      </c>
      <c r="FN162" s="540">
        <f t="shared" si="66"/>
        <v>58896</v>
      </c>
      <c r="FO162" s="540">
        <f t="shared" si="66"/>
        <v>58987</v>
      </c>
      <c r="FP162" s="540">
        <f t="shared" si="66"/>
        <v>59079</v>
      </c>
      <c r="FQ162" s="540">
        <f t="shared" si="66"/>
        <v>59171</v>
      </c>
      <c r="FR162" s="540">
        <f t="shared" si="66"/>
        <v>59261</v>
      </c>
      <c r="FS162" s="540">
        <f t="shared" si="66"/>
        <v>59352</v>
      </c>
      <c r="FT162" s="540">
        <f t="shared" si="66"/>
        <v>59444</v>
      </c>
      <c r="FU162" s="540">
        <f t="shared" si="66"/>
        <v>59536</v>
      </c>
      <c r="FV162" s="540">
        <f t="shared" si="66"/>
        <v>59626</v>
      </c>
      <c r="FW162" s="540">
        <f t="shared" si="66"/>
        <v>59717</v>
      </c>
      <c r="FX162" s="540">
        <f t="shared" si="66"/>
        <v>59809</v>
      </c>
      <c r="FY162" s="540">
        <f t="shared" si="66"/>
        <v>59901</v>
      </c>
      <c r="FZ162" s="540">
        <f t="shared" si="66"/>
        <v>59992</v>
      </c>
      <c r="GA162" s="540">
        <f t="shared" si="66"/>
        <v>60083</v>
      </c>
      <c r="GB162" s="540">
        <f t="shared" si="66"/>
        <v>60175</v>
      </c>
      <c r="GC162" s="540">
        <f t="shared" si="66"/>
        <v>60267</v>
      </c>
      <c r="GD162" s="540">
        <f t="shared" si="66"/>
        <v>60357</v>
      </c>
      <c r="GE162" s="540">
        <f t="shared" si="66"/>
        <v>60448</v>
      </c>
      <c r="GF162" s="540">
        <f t="shared" si="66"/>
        <v>60540</v>
      </c>
      <c r="GG162" s="540">
        <f t="shared" si="66"/>
        <v>60632</v>
      </c>
      <c r="GH162" s="540">
        <f t="shared" si="66"/>
        <v>60722</v>
      </c>
      <c r="GI162" s="540">
        <f t="shared" si="66"/>
        <v>60813</v>
      </c>
      <c r="GJ162" s="540">
        <f t="shared" si="66"/>
        <v>60905</v>
      </c>
    </row>
    <row r="163" spans="5:192" ht="12.75">
      <c r="E163" s="535" t="s">
        <v>84</v>
      </c>
      <c r="G163" s="537" t="s">
        <v>85</v>
      </c>
      <c r="H163" s="537">
        <f>SUM(J163:GJ163)</f>
        <v>14883</v>
      </c>
      <c r="J163" s="537">
        <f t="shared" si="67" ref="J163:GJ163">J162-J161+1</f>
        <v>31</v>
      </c>
      <c r="K163" s="537">
        <f t="shared" si="67"/>
        <v>28</v>
      </c>
      <c r="L163" s="537">
        <f t="shared" si="67"/>
        <v>31</v>
      </c>
      <c r="M163" s="537">
        <f t="shared" si="67"/>
        <v>30</v>
      </c>
      <c r="N163" s="537">
        <f t="shared" si="67"/>
        <v>31</v>
      </c>
      <c r="O163" s="537">
        <f t="shared" si="67"/>
        <v>30</v>
      </c>
      <c r="P163" s="537">
        <f t="shared" si="67"/>
        <v>31</v>
      </c>
      <c r="Q163" s="537">
        <f t="shared" si="67"/>
        <v>31</v>
      </c>
      <c r="R163" s="537">
        <f t="shared" si="67"/>
        <v>30</v>
      </c>
      <c r="S163" s="537">
        <f t="shared" si="67"/>
        <v>31</v>
      </c>
      <c r="T163" s="537">
        <f t="shared" si="67"/>
        <v>30</v>
      </c>
      <c r="U163" s="537">
        <f t="shared" si="67"/>
        <v>31</v>
      </c>
      <c r="V163" s="537">
        <f t="shared" si="67"/>
        <v>31</v>
      </c>
      <c r="W163" s="537">
        <f t="shared" si="67"/>
        <v>28</v>
      </c>
      <c r="X163" s="537">
        <f t="shared" si="67"/>
        <v>31</v>
      </c>
      <c r="Y163" s="537">
        <f t="shared" si="67"/>
        <v>30</v>
      </c>
      <c r="Z163" s="537">
        <f t="shared" si="67"/>
        <v>31</v>
      </c>
      <c r="AA163" s="537">
        <f t="shared" si="67"/>
        <v>30</v>
      </c>
      <c r="AB163" s="537">
        <f t="shared" si="67"/>
        <v>31</v>
      </c>
      <c r="AC163" s="537">
        <f t="shared" si="67"/>
        <v>31</v>
      </c>
      <c r="AD163" s="537">
        <f t="shared" si="67"/>
        <v>30</v>
      </c>
      <c r="AE163" s="537">
        <f t="shared" si="67"/>
        <v>31</v>
      </c>
      <c r="AF163" s="537">
        <f t="shared" si="67"/>
        <v>30</v>
      </c>
      <c r="AG163" s="537">
        <f t="shared" si="67"/>
        <v>31</v>
      </c>
      <c r="AH163" s="537">
        <f t="shared" si="67"/>
        <v>31</v>
      </c>
      <c r="AI163" s="537">
        <f t="shared" si="67"/>
        <v>29</v>
      </c>
      <c r="AJ163" s="537">
        <f t="shared" si="67"/>
        <v>31</v>
      </c>
      <c r="AK163" s="537">
        <f t="shared" si="67"/>
        <v>30</v>
      </c>
      <c r="AL163" s="537">
        <f t="shared" si="67"/>
        <v>31</v>
      </c>
      <c r="AM163" s="537">
        <f t="shared" si="67"/>
        <v>30</v>
      </c>
      <c r="AN163" s="537">
        <f t="shared" si="67"/>
        <v>92</v>
      </c>
      <c r="AO163" s="537">
        <f t="shared" si="67"/>
        <v>92</v>
      </c>
      <c r="AP163" s="537">
        <f t="shared" si="67"/>
        <v>90</v>
      </c>
      <c r="AQ163" s="537">
        <f t="shared" si="67"/>
        <v>91</v>
      </c>
      <c r="AR163" s="537">
        <f t="shared" si="67"/>
        <v>92</v>
      </c>
      <c r="AS163" s="537">
        <f t="shared" si="67"/>
        <v>92</v>
      </c>
      <c r="AT163" s="537">
        <f t="shared" si="67"/>
        <v>90</v>
      </c>
      <c r="AU163" s="537">
        <f t="shared" si="67"/>
        <v>91</v>
      </c>
      <c r="AV163" s="537">
        <f t="shared" si="67"/>
        <v>92</v>
      </c>
      <c r="AW163" s="537">
        <f t="shared" si="67"/>
        <v>92</v>
      </c>
      <c r="AX163" s="537">
        <f t="shared" si="67"/>
        <v>90</v>
      </c>
      <c r="AY163" s="537">
        <f t="shared" si="67"/>
        <v>91</v>
      </c>
      <c r="AZ163" s="537">
        <f t="shared" si="67"/>
        <v>92</v>
      </c>
      <c r="BA163" s="537">
        <f t="shared" si="67"/>
        <v>92</v>
      </c>
      <c r="BB163" s="537">
        <f t="shared" si="67"/>
        <v>91</v>
      </c>
      <c r="BC163" s="537">
        <f t="shared" si="67"/>
        <v>91</v>
      </c>
      <c r="BD163" s="537">
        <f t="shared" si="67"/>
        <v>92</v>
      </c>
      <c r="BE163" s="537">
        <f t="shared" si="67"/>
        <v>92</v>
      </c>
      <c r="BF163" s="537">
        <f t="shared" si="67"/>
        <v>90</v>
      </c>
      <c r="BG163" s="537">
        <f t="shared" si="67"/>
        <v>91</v>
      </c>
      <c r="BH163" s="537">
        <f t="shared" si="67"/>
        <v>92</v>
      </c>
      <c r="BI163" s="537">
        <f t="shared" si="67"/>
        <v>92</v>
      </c>
      <c r="BJ163" s="537">
        <f t="shared" si="67"/>
        <v>90</v>
      </c>
      <c r="BK163" s="537">
        <f t="shared" si="67"/>
        <v>91</v>
      </c>
      <c r="BL163" s="537">
        <f t="shared" si="67"/>
        <v>92</v>
      </c>
      <c r="BM163" s="537">
        <f t="shared" si="67"/>
        <v>92</v>
      </c>
      <c r="BN163" s="537">
        <f t="shared" si="67"/>
        <v>90</v>
      </c>
      <c r="BO163" s="537">
        <f t="shared" si="67"/>
        <v>91</v>
      </c>
      <c r="BP163" s="537">
        <f t="shared" si="67"/>
        <v>92</v>
      </c>
      <c r="BQ163" s="537">
        <f t="shared" si="67"/>
        <v>92</v>
      </c>
      <c r="BR163" s="537">
        <f t="shared" si="67"/>
        <v>91</v>
      </c>
      <c r="BS163" s="537">
        <f t="shared" si="67"/>
        <v>91</v>
      </c>
      <c r="BT163" s="537">
        <f t="shared" si="67"/>
        <v>92</v>
      </c>
      <c r="BU163" s="537">
        <f t="shared" si="67"/>
        <v>92</v>
      </c>
      <c r="BV163" s="537">
        <f t="shared" si="67"/>
        <v>90</v>
      </c>
      <c r="BW163" s="537">
        <f t="shared" si="67"/>
        <v>91</v>
      </c>
      <c r="BX163" s="537">
        <f t="shared" si="67"/>
        <v>92</v>
      </c>
      <c r="BY163" s="537">
        <f t="shared" si="67"/>
        <v>92</v>
      </c>
      <c r="BZ163" s="537">
        <f t="shared" si="67"/>
        <v>90</v>
      </c>
      <c r="CA163" s="537">
        <f t="shared" si="67"/>
        <v>91</v>
      </c>
      <c r="CB163" s="537">
        <f t="shared" si="67"/>
        <v>92</v>
      </c>
      <c r="CC163" s="537">
        <f t="shared" si="67"/>
        <v>92</v>
      </c>
      <c r="CD163" s="537">
        <f t="shared" si="67"/>
        <v>90</v>
      </c>
      <c r="CE163" s="537">
        <f t="shared" si="67"/>
        <v>91</v>
      </c>
      <c r="CF163" s="537">
        <f t="shared" si="67"/>
        <v>92</v>
      </c>
      <c r="CG163" s="537">
        <f t="shared" si="67"/>
        <v>92</v>
      </c>
      <c r="CH163" s="537">
        <f t="shared" si="67"/>
        <v>91</v>
      </c>
      <c r="CI163" s="537">
        <f t="shared" si="67"/>
        <v>91</v>
      </c>
      <c r="CJ163" s="537">
        <f t="shared" si="67"/>
        <v>92</v>
      </c>
      <c r="CK163" s="537">
        <f t="shared" si="67"/>
        <v>92</v>
      </c>
      <c r="CL163" s="537">
        <f t="shared" si="67"/>
        <v>90</v>
      </c>
      <c r="CM163" s="537">
        <f t="shared" si="67"/>
        <v>91</v>
      </c>
      <c r="CN163" s="537">
        <f t="shared" si="67"/>
        <v>92</v>
      </c>
      <c r="CO163" s="537">
        <f t="shared" si="67"/>
        <v>92</v>
      </c>
      <c r="CP163" s="537">
        <f t="shared" si="67"/>
        <v>90</v>
      </c>
      <c r="CQ163" s="537">
        <f t="shared" si="67"/>
        <v>91</v>
      </c>
      <c r="CR163" s="537">
        <f t="shared" si="67"/>
        <v>92</v>
      </c>
      <c r="CS163" s="537">
        <f t="shared" si="67"/>
        <v>92</v>
      </c>
      <c r="CT163" s="537">
        <f t="shared" si="67"/>
        <v>90</v>
      </c>
      <c r="CU163" s="537">
        <f t="shared" si="67"/>
        <v>91</v>
      </c>
      <c r="CV163" s="537">
        <f t="shared" si="67"/>
        <v>92</v>
      </c>
      <c r="CW163" s="537">
        <f t="shared" si="67"/>
        <v>92</v>
      </c>
      <c r="CX163" s="537">
        <f t="shared" si="67"/>
        <v>91</v>
      </c>
      <c r="CY163" s="537">
        <f t="shared" si="67"/>
        <v>91</v>
      </c>
      <c r="CZ163" s="537">
        <f t="shared" si="67"/>
        <v>92</v>
      </c>
      <c r="DA163" s="537">
        <f t="shared" si="67"/>
        <v>92</v>
      </c>
      <c r="DB163" s="537">
        <f t="shared" si="67"/>
        <v>90</v>
      </c>
      <c r="DC163" s="537">
        <f t="shared" si="67"/>
        <v>91</v>
      </c>
      <c r="DD163" s="537">
        <f t="shared" si="67"/>
        <v>92</v>
      </c>
      <c r="DE163" s="537">
        <f t="shared" si="67"/>
        <v>92</v>
      </c>
      <c r="DF163" s="537">
        <f t="shared" si="67"/>
        <v>90</v>
      </c>
      <c r="DG163" s="537">
        <f t="shared" si="67"/>
        <v>91</v>
      </c>
      <c r="DH163" s="537">
        <f t="shared" si="67"/>
        <v>92</v>
      </c>
      <c r="DI163" s="537">
        <f t="shared" si="67"/>
        <v>92</v>
      </c>
      <c r="DJ163" s="537">
        <f t="shared" si="67"/>
        <v>90</v>
      </c>
      <c r="DK163" s="537">
        <f t="shared" si="67"/>
        <v>91</v>
      </c>
      <c r="DL163" s="537">
        <f t="shared" si="67"/>
        <v>92</v>
      </c>
      <c r="DM163" s="537">
        <f t="shared" si="67"/>
        <v>92</v>
      </c>
      <c r="DN163" s="537">
        <f t="shared" si="67"/>
        <v>91</v>
      </c>
      <c r="DO163" s="537">
        <f t="shared" si="67"/>
        <v>91</v>
      </c>
      <c r="DP163" s="537">
        <f t="shared" si="67"/>
        <v>92</v>
      </c>
      <c r="DQ163" s="537">
        <f t="shared" si="67"/>
        <v>92</v>
      </c>
      <c r="DR163" s="537">
        <f t="shared" si="67"/>
        <v>90</v>
      </c>
      <c r="DS163" s="537">
        <f t="shared" si="67"/>
        <v>91</v>
      </c>
      <c r="DT163" s="537">
        <f t="shared" si="67"/>
        <v>92</v>
      </c>
      <c r="DU163" s="537">
        <f t="shared" si="67"/>
        <v>92</v>
      </c>
      <c r="DV163" s="537">
        <f t="shared" si="67"/>
        <v>90</v>
      </c>
      <c r="DW163" s="537">
        <f t="shared" si="67"/>
        <v>91</v>
      </c>
      <c r="DX163" s="537">
        <f t="shared" si="67"/>
        <v>92</v>
      </c>
      <c r="DY163" s="537">
        <f t="shared" si="67"/>
        <v>92</v>
      </c>
      <c r="DZ163" s="537">
        <f t="shared" si="67"/>
        <v>90</v>
      </c>
      <c r="EA163" s="537">
        <f t="shared" si="67"/>
        <v>91</v>
      </c>
      <c r="EB163" s="537">
        <f t="shared" si="67"/>
        <v>92</v>
      </c>
      <c r="EC163" s="537">
        <f t="shared" si="67"/>
        <v>92</v>
      </c>
      <c r="ED163" s="537">
        <f t="shared" si="67"/>
        <v>91</v>
      </c>
      <c r="EE163" s="537">
        <f t="shared" si="67"/>
        <v>91</v>
      </c>
      <c r="EF163" s="537">
        <f t="shared" si="67"/>
        <v>92</v>
      </c>
      <c r="EG163" s="537">
        <f t="shared" si="67"/>
        <v>92</v>
      </c>
      <c r="EH163" s="537">
        <f t="shared" si="67"/>
        <v>90</v>
      </c>
      <c r="EI163" s="537">
        <f t="shared" si="67"/>
        <v>91</v>
      </c>
      <c r="EJ163" s="537">
        <f t="shared" si="67"/>
        <v>92</v>
      </c>
      <c r="EK163" s="537">
        <f t="shared" si="67"/>
        <v>92</v>
      </c>
      <c r="EL163" s="537">
        <f t="shared" si="67"/>
        <v>90</v>
      </c>
      <c r="EM163" s="537">
        <f t="shared" si="67"/>
        <v>91</v>
      </c>
      <c r="EN163" s="537">
        <f t="shared" si="67"/>
        <v>92</v>
      </c>
      <c r="EO163" s="537">
        <f t="shared" si="67"/>
        <v>92</v>
      </c>
      <c r="EP163" s="537">
        <f t="shared" si="67"/>
        <v>90</v>
      </c>
      <c r="EQ163" s="537">
        <f t="shared" si="67"/>
        <v>91</v>
      </c>
      <c r="ER163" s="537">
        <f t="shared" si="67"/>
        <v>92</v>
      </c>
      <c r="ES163" s="537">
        <f t="shared" si="67"/>
        <v>92</v>
      </c>
      <c r="ET163" s="537">
        <f t="shared" si="67"/>
        <v>91</v>
      </c>
      <c r="EU163" s="537">
        <f t="shared" si="67"/>
        <v>91</v>
      </c>
      <c r="EV163" s="537">
        <f t="shared" si="67"/>
        <v>92</v>
      </c>
      <c r="EW163" s="537">
        <f t="shared" si="67"/>
        <v>92</v>
      </c>
      <c r="EX163" s="537">
        <f t="shared" si="67"/>
        <v>90</v>
      </c>
      <c r="EY163" s="537">
        <f t="shared" si="67"/>
        <v>91</v>
      </c>
      <c r="EZ163" s="537">
        <f t="shared" si="67"/>
        <v>92</v>
      </c>
      <c r="FA163" s="537">
        <f t="shared" si="67"/>
        <v>92</v>
      </c>
      <c r="FB163" s="537">
        <f t="shared" si="67"/>
        <v>90</v>
      </c>
      <c r="FC163" s="537">
        <f t="shared" si="67"/>
        <v>91</v>
      </c>
      <c r="FD163" s="537">
        <f t="shared" si="67"/>
        <v>92</v>
      </c>
      <c r="FE163" s="537">
        <f t="shared" si="67"/>
        <v>92</v>
      </c>
      <c r="FF163" s="537">
        <f t="shared" si="67"/>
        <v>90</v>
      </c>
      <c r="FG163" s="537">
        <f t="shared" si="67"/>
        <v>91</v>
      </c>
      <c r="FH163" s="537">
        <f t="shared" si="67"/>
        <v>92</v>
      </c>
      <c r="FI163" s="537">
        <f t="shared" si="67"/>
        <v>92</v>
      </c>
      <c r="FJ163" s="537">
        <f t="shared" si="67"/>
        <v>91</v>
      </c>
      <c r="FK163" s="537">
        <f t="shared" si="67"/>
        <v>91</v>
      </c>
      <c r="FL163" s="537">
        <f t="shared" si="67"/>
        <v>92</v>
      </c>
      <c r="FM163" s="537">
        <f t="shared" si="67"/>
        <v>92</v>
      </c>
      <c r="FN163" s="537">
        <f t="shared" si="67"/>
        <v>90</v>
      </c>
      <c r="FO163" s="537">
        <f t="shared" si="67"/>
        <v>91</v>
      </c>
      <c r="FP163" s="537">
        <f t="shared" si="67"/>
        <v>92</v>
      </c>
      <c r="FQ163" s="537">
        <f t="shared" si="67"/>
        <v>92</v>
      </c>
      <c r="FR163" s="537">
        <f t="shared" si="67"/>
        <v>90</v>
      </c>
      <c r="FS163" s="537">
        <f t="shared" si="67"/>
        <v>91</v>
      </c>
      <c r="FT163" s="537">
        <f t="shared" si="67"/>
        <v>92</v>
      </c>
      <c r="FU163" s="537">
        <f t="shared" si="67"/>
        <v>92</v>
      </c>
      <c r="FV163" s="537">
        <f t="shared" si="67"/>
        <v>90</v>
      </c>
      <c r="FW163" s="537">
        <f t="shared" si="67"/>
        <v>91</v>
      </c>
      <c r="FX163" s="537">
        <f t="shared" si="67"/>
        <v>92</v>
      </c>
      <c r="FY163" s="537">
        <f t="shared" si="67"/>
        <v>92</v>
      </c>
      <c r="FZ163" s="537">
        <f t="shared" si="67"/>
        <v>91</v>
      </c>
      <c r="GA163" s="537">
        <f t="shared" si="67"/>
        <v>91</v>
      </c>
      <c r="GB163" s="537">
        <f t="shared" si="67"/>
        <v>92</v>
      </c>
      <c r="GC163" s="537">
        <f t="shared" si="67"/>
        <v>92</v>
      </c>
      <c r="GD163" s="537">
        <f t="shared" si="67"/>
        <v>90</v>
      </c>
      <c r="GE163" s="537">
        <f t="shared" si="67"/>
        <v>91</v>
      </c>
      <c r="GF163" s="537">
        <f t="shared" si="67"/>
        <v>92</v>
      </c>
      <c r="GG163" s="537">
        <f t="shared" si="67"/>
        <v>92</v>
      </c>
      <c r="GH163" s="537">
        <f t="shared" si="67"/>
        <v>90</v>
      </c>
      <c r="GI163" s="537">
        <f t="shared" si="67"/>
        <v>91</v>
      </c>
      <c r="GJ163" s="537">
        <f t="shared" si="67"/>
        <v>92</v>
      </c>
    </row>
    <row r="166" spans="1:1" ht="12.75">
      <c r="A166" s="534" t="s">
        <v>86</v>
      </c>
    </row>
    <row r="168" spans="5:7" ht="12.75">
      <c r="E168" s="535" t="str">
        <f>E$13</f>
        <v>Model column total</v>
      </c>
      <c r="F168" s="537">
        <f>F$13</f>
        <v>183</v>
      </c>
      <c r="G168" s="537" t="str">
        <f>G$13</f>
        <v>columns</v>
      </c>
    </row>
    <row r="169" spans="5:192" ht="12.75">
      <c r="E169" s="535" t="str">
        <f>E$10</f>
        <v>Model column counter</v>
      </c>
      <c r="G169" s="537" t="str">
        <f>G$10</f>
        <v>counter</v>
      </c>
      <c r="H169" s="537">
        <f>H$10</f>
        <v>16836</v>
      </c>
      <c r="J169" s="537">
        <f t="shared" si="68" ref="J169:GJ169">J$10</f>
        <v>1</v>
      </c>
      <c r="K169" s="537">
        <f t="shared" si="68"/>
        <v>2</v>
      </c>
      <c r="L169" s="537">
        <f t="shared" si="68"/>
        <v>3</v>
      </c>
      <c r="M169" s="537">
        <f t="shared" si="68"/>
        <v>4</v>
      </c>
      <c r="N169" s="537">
        <f t="shared" si="68"/>
        <v>5</v>
      </c>
      <c r="O169" s="537">
        <f t="shared" si="68"/>
        <v>6</v>
      </c>
      <c r="P169" s="537">
        <f t="shared" si="68"/>
        <v>7</v>
      </c>
      <c r="Q169" s="537">
        <f t="shared" si="68"/>
        <v>8</v>
      </c>
      <c r="R169" s="537">
        <f t="shared" si="68"/>
        <v>9</v>
      </c>
      <c r="S169" s="537">
        <f t="shared" si="68"/>
        <v>10</v>
      </c>
      <c r="T169" s="537">
        <f t="shared" si="68"/>
        <v>11</v>
      </c>
      <c r="U169" s="537">
        <f t="shared" si="68"/>
        <v>12</v>
      </c>
      <c r="V169" s="537">
        <f t="shared" si="68"/>
        <v>13</v>
      </c>
      <c r="W169" s="537">
        <f t="shared" si="68"/>
        <v>14</v>
      </c>
      <c r="X169" s="537">
        <f t="shared" si="68"/>
        <v>15</v>
      </c>
      <c r="Y169" s="537">
        <f t="shared" si="68"/>
        <v>16</v>
      </c>
      <c r="Z169" s="537">
        <f t="shared" si="68"/>
        <v>17</v>
      </c>
      <c r="AA169" s="537">
        <f t="shared" si="68"/>
        <v>18</v>
      </c>
      <c r="AB169" s="537">
        <f t="shared" si="68"/>
        <v>19</v>
      </c>
      <c r="AC169" s="537">
        <f t="shared" si="68"/>
        <v>20</v>
      </c>
      <c r="AD169" s="537">
        <f t="shared" si="68"/>
        <v>21</v>
      </c>
      <c r="AE169" s="537">
        <f t="shared" si="68"/>
        <v>22</v>
      </c>
      <c r="AF169" s="537">
        <f t="shared" si="68"/>
        <v>23</v>
      </c>
      <c r="AG169" s="537">
        <f t="shared" si="68"/>
        <v>24</v>
      </c>
      <c r="AH169" s="537">
        <f t="shared" si="68"/>
        <v>25</v>
      </c>
      <c r="AI169" s="537">
        <f t="shared" si="68"/>
        <v>26</v>
      </c>
      <c r="AJ169" s="537">
        <f t="shared" si="68"/>
        <v>27</v>
      </c>
      <c r="AK169" s="537">
        <f t="shared" si="68"/>
        <v>28</v>
      </c>
      <c r="AL169" s="537">
        <f t="shared" si="68"/>
        <v>29</v>
      </c>
      <c r="AM169" s="537">
        <f t="shared" si="68"/>
        <v>30</v>
      </c>
      <c r="AN169" s="537">
        <f t="shared" si="68"/>
        <v>31</v>
      </c>
      <c r="AO169" s="537">
        <f t="shared" si="68"/>
        <v>32</v>
      </c>
      <c r="AP169" s="537">
        <f t="shared" si="68"/>
        <v>33</v>
      </c>
      <c r="AQ169" s="537">
        <f t="shared" si="68"/>
        <v>34</v>
      </c>
      <c r="AR169" s="537">
        <f t="shared" si="68"/>
        <v>35</v>
      </c>
      <c r="AS169" s="537">
        <f t="shared" si="68"/>
        <v>36</v>
      </c>
      <c r="AT169" s="537">
        <f t="shared" si="68"/>
        <v>37</v>
      </c>
      <c r="AU169" s="537">
        <f t="shared" si="68"/>
        <v>38</v>
      </c>
      <c r="AV169" s="537">
        <f t="shared" si="68"/>
        <v>39</v>
      </c>
      <c r="AW169" s="537">
        <f t="shared" si="68"/>
        <v>40</v>
      </c>
      <c r="AX169" s="537">
        <f t="shared" si="68"/>
        <v>41</v>
      </c>
      <c r="AY169" s="537">
        <f t="shared" si="68"/>
        <v>42</v>
      </c>
      <c r="AZ169" s="537">
        <f t="shared" si="68"/>
        <v>43</v>
      </c>
      <c r="BA169" s="537">
        <f t="shared" si="68"/>
        <v>44</v>
      </c>
      <c r="BB169" s="537">
        <f t="shared" si="68"/>
        <v>45</v>
      </c>
      <c r="BC169" s="537">
        <f t="shared" si="68"/>
        <v>46</v>
      </c>
      <c r="BD169" s="537">
        <f t="shared" si="68"/>
        <v>47</v>
      </c>
      <c r="BE169" s="537">
        <f t="shared" si="68"/>
        <v>48</v>
      </c>
      <c r="BF169" s="537">
        <f t="shared" si="68"/>
        <v>49</v>
      </c>
      <c r="BG169" s="537">
        <f t="shared" si="68"/>
        <v>50</v>
      </c>
      <c r="BH169" s="537">
        <f t="shared" si="68"/>
        <v>51</v>
      </c>
      <c r="BI169" s="537">
        <f t="shared" si="68"/>
        <v>52</v>
      </c>
      <c r="BJ169" s="537">
        <f t="shared" si="68"/>
        <v>53</v>
      </c>
      <c r="BK169" s="537">
        <f t="shared" si="68"/>
        <v>54</v>
      </c>
      <c r="BL169" s="537">
        <f t="shared" si="68"/>
        <v>55</v>
      </c>
      <c r="BM169" s="537">
        <f t="shared" si="68"/>
        <v>56</v>
      </c>
      <c r="BN169" s="537">
        <f t="shared" si="68"/>
        <v>57</v>
      </c>
      <c r="BO169" s="537">
        <f t="shared" si="68"/>
        <v>58</v>
      </c>
      <c r="BP169" s="537">
        <f t="shared" si="68"/>
        <v>59</v>
      </c>
      <c r="BQ169" s="537">
        <f t="shared" si="68"/>
        <v>60</v>
      </c>
      <c r="BR169" s="537">
        <f t="shared" si="68"/>
        <v>61</v>
      </c>
      <c r="BS169" s="537">
        <f t="shared" si="68"/>
        <v>62</v>
      </c>
      <c r="BT169" s="537">
        <f t="shared" si="68"/>
        <v>63</v>
      </c>
      <c r="BU169" s="537">
        <f t="shared" si="68"/>
        <v>64</v>
      </c>
      <c r="BV169" s="537">
        <f t="shared" si="68"/>
        <v>65</v>
      </c>
      <c r="BW169" s="537">
        <f t="shared" si="68"/>
        <v>66</v>
      </c>
      <c r="BX169" s="537">
        <f t="shared" si="68"/>
        <v>67</v>
      </c>
      <c r="BY169" s="537">
        <f t="shared" si="68"/>
        <v>68</v>
      </c>
      <c r="BZ169" s="537">
        <f t="shared" si="68"/>
        <v>69</v>
      </c>
      <c r="CA169" s="537">
        <f t="shared" si="68"/>
        <v>70</v>
      </c>
      <c r="CB169" s="537">
        <f t="shared" si="68"/>
        <v>71</v>
      </c>
      <c r="CC169" s="537">
        <f t="shared" si="68"/>
        <v>72</v>
      </c>
      <c r="CD169" s="537">
        <f t="shared" si="68"/>
        <v>73</v>
      </c>
      <c r="CE169" s="537">
        <f t="shared" si="68"/>
        <v>74</v>
      </c>
      <c r="CF169" s="537">
        <f t="shared" si="68"/>
        <v>75</v>
      </c>
      <c r="CG169" s="537">
        <f t="shared" si="68"/>
        <v>76</v>
      </c>
      <c r="CH169" s="537">
        <f t="shared" si="68"/>
        <v>77</v>
      </c>
      <c r="CI169" s="537">
        <f t="shared" si="68"/>
        <v>78</v>
      </c>
      <c r="CJ169" s="537">
        <f t="shared" si="68"/>
        <v>79</v>
      </c>
      <c r="CK169" s="537">
        <f t="shared" si="68"/>
        <v>80</v>
      </c>
      <c r="CL169" s="537">
        <f t="shared" si="68"/>
        <v>81</v>
      </c>
      <c r="CM169" s="537">
        <f t="shared" si="68"/>
        <v>82</v>
      </c>
      <c r="CN169" s="537">
        <f t="shared" si="68"/>
        <v>83</v>
      </c>
      <c r="CO169" s="537">
        <f t="shared" si="68"/>
        <v>84</v>
      </c>
      <c r="CP169" s="537">
        <f t="shared" si="68"/>
        <v>85</v>
      </c>
      <c r="CQ169" s="537">
        <f t="shared" si="68"/>
        <v>86</v>
      </c>
      <c r="CR169" s="537">
        <f t="shared" si="68"/>
        <v>87</v>
      </c>
      <c r="CS169" s="537">
        <f t="shared" si="68"/>
        <v>88</v>
      </c>
      <c r="CT169" s="537">
        <f t="shared" si="68"/>
        <v>89</v>
      </c>
      <c r="CU169" s="537">
        <f t="shared" si="68"/>
        <v>90</v>
      </c>
      <c r="CV169" s="537">
        <f t="shared" si="68"/>
        <v>91</v>
      </c>
      <c r="CW169" s="537">
        <f t="shared" si="68"/>
        <v>92</v>
      </c>
      <c r="CX169" s="537">
        <f t="shared" si="68"/>
        <v>93</v>
      </c>
      <c r="CY169" s="537">
        <f t="shared" si="68"/>
        <v>94</v>
      </c>
      <c r="CZ169" s="537">
        <f t="shared" si="68"/>
        <v>95</v>
      </c>
      <c r="DA169" s="537">
        <f t="shared" si="68"/>
        <v>96</v>
      </c>
      <c r="DB169" s="537">
        <f t="shared" si="68"/>
        <v>97</v>
      </c>
      <c r="DC169" s="537">
        <f t="shared" si="68"/>
        <v>98</v>
      </c>
      <c r="DD169" s="537">
        <f t="shared" si="68"/>
        <v>99</v>
      </c>
      <c r="DE169" s="537">
        <f t="shared" si="68"/>
        <v>100</v>
      </c>
      <c r="DF169" s="537">
        <f t="shared" si="68"/>
        <v>101</v>
      </c>
      <c r="DG169" s="537">
        <f t="shared" si="68"/>
        <v>102</v>
      </c>
      <c r="DH169" s="537">
        <f t="shared" si="68"/>
        <v>103</v>
      </c>
      <c r="DI169" s="537">
        <f t="shared" si="68"/>
        <v>104</v>
      </c>
      <c r="DJ169" s="537">
        <f t="shared" si="68"/>
        <v>105</v>
      </c>
      <c r="DK169" s="537">
        <f t="shared" si="68"/>
        <v>106</v>
      </c>
      <c r="DL169" s="537">
        <f t="shared" si="68"/>
        <v>107</v>
      </c>
      <c r="DM169" s="537">
        <f t="shared" si="68"/>
        <v>108</v>
      </c>
      <c r="DN169" s="537">
        <f t="shared" si="68"/>
        <v>109</v>
      </c>
      <c r="DO169" s="537">
        <f t="shared" si="68"/>
        <v>110</v>
      </c>
      <c r="DP169" s="537">
        <f t="shared" si="68"/>
        <v>111</v>
      </c>
      <c r="DQ169" s="537">
        <f t="shared" si="68"/>
        <v>112</v>
      </c>
      <c r="DR169" s="537">
        <f t="shared" si="68"/>
        <v>113</v>
      </c>
      <c r="DS169" s="537">
        <f t="shared" si="68"/>
        <v>114</v>
      </c>
      <c r="DT169" s="537">
        <f t="shared" si="68"/>
        <v>115</v>
      </c>
      <c r="DU169" s="537">
        <f t="shared" si="68"/>
        <v>116</v>
      </c>
      <c r="DV169" s="537">
        <f t="shared" si="68"/>
        <v>117</v>
      </c>
      <c r="DW169" s="537">
        <f t="shared" si="68"/>
        <v>118</v>
      </c>
      <c r="DX169" s="537">
        <f t="shared" si="68"/>
        <v>119</v>
      </c>
      <c r="DY169" s="537">
        <f t="shared" si="68"/>
        <v>120</v>
      </c>
      <c r="DZ169" s="537">
        <f t="shared" si="68"/>
        <v>121</v>
      </c>
      <c r="EA169" s="537">
        <f t="shared" si="68"/>
        <v>122</v>
      </c>
      <c r="EB169" s="537">
        <f t="shared" si="68"/>
        <v>123</v>
      </c>
      <c r="EC169" s="537">
        <f t="shared" si="68"/>
        <v>124</v>
      </c>
      <c r="ED169" s="537">
        <f t="shared" si="68"/>
        <v>125</v>
      </c>
      <c r="EE169" s="537">
        <f t="shared" si="68"/>
        <v>126</v>
      </c>
      <c r="EF169" s="537">
        <f t="shared" si="68"/>
        <v>127</v>
      </c>
      <c r="EG169" s="537">
        <f t="shared" si="68"/>
        <v>128</v>
      </c>
      <c r="EH169" s="537">
        <f t="shared" si="68"/>
        <v>129</v>
      </c>
      <c r="EI169" s="537">
        <f t="shared" si="68"/>
        <v>130</v>
      </c>
      <c r="EJ169" s="537">
        <f t="shared" si="68"/>
        <v>131</v>
      </c>
      <c r="EK169" s="537">
        <f t="shared" si="68"/>
        <v>132</v>
      </c>
      <c r="EL169" s="537">
        <f t="shared" si="68"/>
        <v>133</v>
      </c>
      <c r="EM169" s="537">
        <f t="shared" si="68"/>
        <v>134</v>
      </c>
      <c r="EN169" s="537">
        <f t="shared" si="68"/>
        <v>135</v>
      </c>
      <c r="EO169" s="537">
        <f t="shared" si="68"/>
        <v>136</v>
      </c>
      <c r="EP169" s="537">
        <f t="shared" si="68"/>
        <v>137</v>
      </c>
      <c r="EQ169" s="537">
        <f t="shared" si="68"/>
        <v>138</v>
      </c>
      <c r="ER169" s="537">
        <f t="shared" si="68"/>
        <v>139</v>
      </c>
      <c r="ES169" s="537">
        <f t="shared" si="68"/>
        <v>140</v>
      </c>
      <c r="ET169" s="537">
        <f t="shared" si="68"/>
        <v>141</v>
      </c>
      <c r="EU169" s="537">
        <f t="shared" si="68"/>
        <v>142</v>
      </c>
      <c r="EV169" s="537">
        <f t="shared" si="68"/>
        <v>143</v>
      </c>
      <c r="EW169" s="537">
        <f t="shared" si="68"/>
        <v>144</v>
      </c>
      <c r="EX169" s="537">
        <f t="shared" si="68"/>
        <v>145</v>
      </c>
      <c r="EY169" s="537">
        <f t="shared" si="68"/>
        <v>146</v>
      </c>
      <c r="EZ169" s="537">
        <f t="shared" si="68"/>
        <v>147</v>
      </c>
      <c r="FA169" s="537">
        <f t="shared" si="68"/>
        <v>148</v>
      </c>
      <c r="FB169" s="537">
        <f t="shared" si="68"/>
        <v>149</v>
      </c>
      <c r="FC169" s="537">
        <f t="shared" si="68"/>
        <v>150</v>
      </c>
      <c r="FD169" s="537">
        <f t="shared" si="68"/>
        <v>151</v>
      </c>
      <c r="FE169" s="537">
        <f t="shared" si="68"/>
        <v>152</v>
      </c>
      <c r="FF169" s="537">
        <f t="shared" si="68"/>
        <v>153</v>
      </c>
      <c r="FG169" s="537">
        <f t="shared" si="68"/>
        <v>154</v>
      </c>
      <c r="FH169" s="537">
        <f t="shared" si="68"/>
        <v>155</v>
      </c>
      <c r="FI169" s="537">
        <f t="shared" si="68"/>
        <v>156</v>
      </c>
      <c r="FJ169" s="537">
        <f t="shared" si="68"/>
        <v>157</v>
      </c>
      <c r="FK169" s="537">
        <f t="shared" si="68"/>
        <v>158</v>
      </c>
      <c r="FL169" s="537">
        <f t="shared" si="68"/>
        <v>159</v>
      </c>
      <c r="FM169" s="537">
        <f t="shared" si="68"/>
        <v>160</v>
      </c>
      <c r="FN169" s="537">
        <f t="shared" si="68"/>
        <v>161</v>
      </c>
      <c r="FO169" s="537">
        <f t="shared" si="68"/>
        <v>162</v>
      </c>
      <c r="FP169" s="537">
        <f t="shared" si="68"/>
        <v>163</v>
      </c>
      <c r="FQ169" s="537">
        <f t="shared" si="68"/>
        <v>164</v>
      </c>
      <c r="FR169" s="537">
        <f t="shared" si="68"/>
        <v>165</v>
      </c>
      <c r="FS169" s="537">
        <f t="shared" si="68"/>
        <v>166</v>
      </c>
      <c r="FT169" s="537">
        <f t="shared" si="68"/>
        <v>167</v>
      </c>
      <c r="FU169" s="537">
        <f t="shared" si="68"/>
        <v>168</v>
      </c>
      <c r="FV169" s="537">
        <f t="shared" si="68"/>
        <v>169</v>
      </c>
      <c r="FW169" s="537">
        <f t="shared" si="68"/>
        <v>170</v>
      </c>
      <c r="FX169" s="537">
        <f t="shared" si="68"/>
        <v>171</v>
      </c>
      <c r="FY169" s="537">
        <f t="shared" si="68"/>
        <v>172</v>
      </c>
      <c r="FZ169" s="537">
        <f t="shared" si="68"/>
        <v>173</v>
      </c>
      <c r="GA169" s="537">
        <f t="shared" si="68"/>
        <v>174</v>
      </c>
      <c r="GB169" s="537">
        <f t="shared" si="68"/>
        <v>175</v>
      </c>
      <c r="GC169" s="537">
        <f t="shared" si="68"/>
        <v>176</v>
      </c>
      <c r="GD169" s="537">
        <f t="shared" si="68"/>
        <v>177</v>
      </c>
      <c r="GE169" s="537">
        <f t="shared" si="68"/>
        <v>178</v>
      </c>
      <c r="GF169" s="537">
        <f t="shared" si="68"/>
        <v>179</v>
      </c>
      <c r="GG169" s="537">
        <f t="shared" si="68"/>
        <v>180</v>
      </c>
      <c r="GH169" s="537">
        <f t="shared" si="68"/>
        <v>181</v>
      </c>
      <c r="GI169" s="537">
        <f t="shared" si="68"/>
        <v>182</v>
      </c>
      <c r="GJ169" s="537">
        <f t="shared" si="68"/>
        <v>183</v>
      </c>
    </row>
    <row r="170" spans="5:192" ht="12.75">
      <c r="E170" s="535" t="s">
        <v>87</v>
      </c>
      <c r="G170" s="537" t="s">
        <v>50</v>
      </c>
      <c r="H170" s="537">
        <f>SUM(J170:GJ170)</f>
        <v>1</v>
      </c>
      <c r="J170" s="537">
        <f t="shared" si="69" ref="J170:GJ170">IF(J169=$F168,1,0)</f>
        <v>0</v>
      </c>
      <c r="K170" s="537">
        <f t="shared" si="69"/>
        <v>0</v>
      </c>
      <c r="L170" s="537">
        <f t="shared" si="69"/>
        <v>0</v>
      </c>
      <c r="M170" s="537">
        <f t="shared" si="69"/>
        <v>0</v>
      </c>
      <c r="N170" s="537">
        <f t="shared" si="69"/>
        <v>0</v>
      </c>
      <c r="O170" s="537">
        <f t="shared" si="69"/>
        <v>0</v>
      </c>
      <c r="P170" s="537">
        <f t="shared" si="69"/>
        <v>0</v>
      </c>
      <c r="Q170" s="537">
        <f t="shared" si="69"/>
        <v>0</v>
      </c>
      <c r="R170" s="537">
        <f t="shared" si="69"/>
        <v>0</v>
      </c>
      <c r="S170" s="537">
        <f t="shared" si="69"/>
        <v>0</v>
      </c>
      <c r="T170" s="537">
        <f t="shared" si="69"/>
        <v>0</v>
      </c>
      <c r="U170" s="537">
        <f t="shared" si="69"/>
        <v>0</v>
      </c>
      <c r="V170" s="537">
        <f t="shared" si="69"/>
        <v>0</v>
      </c>
      <c r="W170" s="537">
        <f t="shared" si="69"/>
        <v>0</v>
      </c>
      <c r="X170" s="537">
        <f t="shared" si="69"/>
        <v>0</v>
      </c>
      <c r="Y170" s="537">
        <f t="shared" si="69"/>
        <v>0</v>
      </c>
      <c r="Z170" s="537">
        <f t="shared" si="69"/>
        <v>0</v>
      </c>
      <c r="AA170" s="537">
        <f t="shared" si="69"/>
        <v>0</v>
      </c>
      <c r="AB170" s="537">
        <f t="shared" si="69"/>
        <v>0</v>
      </c>
      <c r="AC170" s="537">
        <f t="shared" si="69"/>
        <v>0</v>
      </c>
      <c r="AD170" s="537">
        <f t="shared" si="69"/>
        <v>0</v>
      </c>
      <c r="AE170" s="537">
        <f t="shared" si="69"/>
        <v>0</v>
      </c>
      <c r="AF170" s="537">
        <f t="shared" si="69"/>
        <v>0</v>
      </c>
      <c r="AG170" s="537">
        <f t="shared" si="69"/>
        <v>0</v>
      </c>
      <c r="AH170" s="537">
        <f t="shared" si="69"/>
        <v>0</v>
      </c>
      <c r="AI170" s="537">
        <f t="shared" si="69"/>
        <v>0</v>
      </c>
      <c r="AJ170" s="537">
        <f t="shared" si="69"/>
        <v>0</v>
      </c>
      <c r="AK170" s="537">
        <f t="shared" si="69"/>
        <v>0</v>
      </c>
      <c r="AL170" s="537">
        <f t="shared" si="69"/>
        <v>0</v>
      </c>
      <c r="AM170" s="537">
        <f t="shared" si="69"/>
        <v>0</v>
      </c>
      <c r="AN170" s="537">
        <f t="shared" si="69"/>
        <v>0</v>
      </c>
      <c r="AO170" s="537">
        <f t="shared" si="69"/>
        <v>0</v>
      </c>
      <c r="AP170" s="537">
        <f t="shared" si="69"/>
        <v>0</v>
      </c>
      <c r="AQ170" s="537">
        <f t="shared" si="69"/>
        <v>0</v>
      </c>
      <c r="AR170" s="537">
        <f t="shared" si="69"/>
        <v>0</v>
      </c>
      <c r="AS170" s="537">
        <f t="shared" si="69"/>
        <v>0</v>
      </c>
      <c r="AT170" s="537">
        <f t="shared" si="69"/>
        <v>0</v>
      </c>
      <c r="AU170" s="537">
        <f t="shared" si="69"/>
        <v>0</v>
      </c>
      <c r="AV170" s="537">
        <f t="shared" si="69"/>
        <v>0</v>
      </c>
      <c r="AW170" s="537">
        <f t="shared" si="69"/>
        <v>0</v>
      </c>
      <c r="AX170" s="537">
        <f t="shared" si="69"/>
        <v>0</v>
      </c>
      <c r="AY170" s="537">
        <f t="shared" si="69"/>
        <v>0</v>
      </c>
      <c r="AZ170" s="537">
        <f t="shared" si="69"/>
        <v>0</v>
      </c>
      <c r="BA170" s="537">
        <f t="shared" si="69"/>
        <v>0</v>
      </c>
      <c r="BB170" s="537">
        <f t="shared" si="69"/>
        <v>0</v>
      </c>
      <c r="BC170" s="537">
        <f t="shared" si="69"/>
        <v>0</v>
      </c>
      <c r="BD170" s="537">
        <f t="shared" si="69"/>
        <v>0</v>
      </c>
      <c r="BE170" s="537">
        <f t="shared" si="69"/>
        <v>0</v>
      </c>
      <c r="BF170" s="537">
        <f t="shared" si="69"/>
        <v>0</v>
      </c>
      <c r="BG170" s="537">
        <f t="shared" si="69"/>
        <v>0</v>
      </c>
      <c r="BH170" s="537">
        <f t="shared" si="69"/>
        <v>0</v>
      </c>
      <c r="BI170" s="537">
        <f t="shared" si="69"/>
        <v>0</v>
      </c>
      <c r="BJ170" s="537">
        <f t="shared" si="69"/>
        <v>0</v>
      </c>
      <c r="BK170" s="537">
        <f t="shared" si="69"/>
        <v>0</v>
      </c>
      <c r="BL170" s="537">
        <f t="shared" si="69"/>
        <v>0</v>
      </c>
      <c r="BM170" s="537">
        <f t="shared" si="69"/>
        <v>0</v>
      </c>
      <c r="BN170" s="537">
        <f t="shared" si="69"/>
        <v>0</v>
      </c>
      <c r="BO170" s="537">
        <f t="shared" si="69"/>
        <v>0</v>
      </c>
      <c r="BP170" s="537">
        <f t="shared" si="69"/>
        <v>0</v>
      </c>
      <c r="BQ170" s="537">
        <f t="shared" si="69"/>
        <v>0</v>
      </c>
      <c r="BR170" s="537">
        <f t="shared" si="69"/>
        <v>0</v>
      </c>
      <c r="BS170" s="537">
        <f t="shared" si="69"/>
        <v>0</v>
      </c>
      <c r="BT170" s="537">
        <f t="shared" si="69"/>
        <v>0</v>
      </c>
      <c r="BU170" s="537">
        <f t="shared" si="69"/>
        <v>0</v>
      </c>
      <c r="BV170" s="537">
        <f t="shared" si="69"/>
        <v>0</v>
      </c>
      <c r="BW170" s="537">
        <f t="shared" si="69"/>
        <v>0</v>
      </c>
      <c r="BX170" s="537">
        <f t="shared" si="69"/>
        <v>0</v>
      </c>
      <c r="BY170" s="537">
        <f t="shared" si="69"/>
        <v>0</v>
      </c>
      <c r="BZ170" s="537">
        <f t="shared" si="69"/>
        <v>0</v>
      </c>
      <c r="CA170" s="537">
        <f t="shared" si="69"/>
        <v>0</v>
      </c>
      <c r="CB170" s="537">
        <f t="shared" si="69"/>
        <v>0</v>
      </c>
      <c r="CC170" s="537">
        <f t="shared" si="69"/>
        <v>0</v>
      </c>
      <c r="CD170" s="537">
        <f t="shared" si="69"/>
        <v>0</v>
      </c>
      <c r="CE170" s="537">
        <f t="shared" si="69"/>
        <v>0</v>
      </c>
      <c r="CF170" s="537">
        <f t="shared" si="69"/>
        <v>0</v>
      </c>
      <c r="CG170" s="537">
        <f t="shared" si="69"/>
        <v>0</v>
      </c>
      <c r="CH170" s="537">
        <f t="shared" si="69"/>
        <v>0</v>
      </c>
      <c r="CI170" s="537">
        <f t="shared" si="69"/>
        <v>0</v>
      </c>
      <c r="CJ170" s="537">
        <f t="shared" si="69"/>
        <v>0</v>
      </c>
      <c r="CK170" s="537">
        <f t="shared" si="69"/>
        <v>0</v>
      </c>
      <c r="CL170" s="537">
        <f t="shared" si="69"/>
        <v>0</v>
      </c>
      <c r="CM170" s="537">
        <f t="shared" si="69"/>
        <v>0</v>
      </c>
      <c r="CN170" s="537">
        <f t="shared" si="69"/>
        <v>0</v>
      </c>
      <c r="CO170" s="537">
        <f t="shared" si="69"/>
        <v>0</v>
      </c>
      <c r="CP170" s="537">
        <f t="shared" si="69"/>
        <v>0</v>
      </c>
      <c r="CQ170" s="537">
        <f t="shared" si="69"/>
        <v>0</v>
      </c>
      <c r="CR170" s="537">
        <f t="shared" si="69"/>
        <v>0</v>
      </c>
      <c r="CS170" s="537">
        <f t="shared" si="69"/>
        <v>0</v>
      </c>
      <c r="CT170" s="537">
        <f t="shared" si="69"/>
        <v>0</v>
      </c>
      <c r="CU170" s="537">
        <f t="shared" si="69"/>
        <v>0</v>
      </c>
      <c r="CV170" s="537">
        <f t="shared" si="69"/>
        <v>0</v>
      </c>
      <c r="CW170" s="537">
        <f t="shared" si="69"/>
        <v>0</v>
      </c>
      <c r="CX170" s="537">
        <f t="shared" si="69"/>
        <v>0</v>
      </c>
      <c r="CY170" s="537">
        <f t="shared" si="69"/>
        <v>0</v>
      </c>
      <c r="CZ170" s="537">
        <f t="shared" si="69"/>
        <v>0</v>
      </c>
      <c r="DA170" s="537">
        <f t="shared" si="69"/>
        <v>0</v>
      </c>
      <c r="DB170" s="537">
        <f t="shared" si="69"/>
        <v>0</v>
      </c>
      <c r="DC170" s="537">
        <f t="shared" si="69"/>
        <v>0</v>
      </c>
      <c r="DD170" s="537">
        <f t="shared" si="69"/>
        <v>0</v>
      </c>
      <c r="DE170" s="537">
        <f t="shared" si="69"/>
        <v>0</v>
      </c>
      <c r="DF170" s="537">
        <f t="shared" si="69"/>
        <v>0</v>
      </c>
      <c r="DG170" s="537">
        <f t="shared" si="69"/>
        <v>0</v>
      </c>
      <c r="DH170" s="537">
        <f t="shared" si="69"/>
        <v>0</v>
      </c>
      <c r="DI170" s="537">
        <f t="shared" si="69"/>
        <v>0</v>
      </c>
      <c r="DJ170" s="537">
        <f t="shared" si="69"/>
        <v>0</v>
      </c>
      <c r="DK170" s="537">
        <f t="shared" si="69"/>
        <v>0</v>
      </c>
      <c r="DL170" s="537">
        <f t="shared" si="69"/>
        <v>0</v>
      </c>
      <c r="DM170" s="537">
        <f t="shared" si="69"/>
        <v>0</v>
      </c>
      <c r="DN170" s="537">
        <f t="shared" si="69"/>
        <v>0</v>
      </c>
      <c r="DO170" s="537">
        <f t="shared" si="69"/>
        <v>0</v>
      </c>
      <c r="DP170" s="537">
        <f t="shared" si="69"/>
        <v>0</v>
      </c>
      <c r="DQ170" s="537">
        <f t="shared" si="69"/>
        <v>0</v>
      </c>
      <c r="DR170" s="537">
        <f t="shared" si="69"/>
        <v>0</v>
      </c>
      <c r="DS170" s="537">
        <f t="shared" si="69"/>
        <v>0</v>
      </c>
      <c r="DT170" s="537">
        <f t="shared" si="69"/>
        <v>0</v>
      </c>
      <c r="DU170" s="537">
        <f t="shared" si="69"/>
        <v>0</v>
      </c>
      <c r="DV170" s="537">
        <f t="shared" si="69"/>
        <v>0</v>
      </c>
      <c r="DW170" s="537">
        <f t="shared" si="69"/>
        <v>0</v>
      </c>
      <c r="DX170" s="537">
        <f t="shared" si="69"/>
        <v>0</v>
      </c>
      <c r="DY170" s="537">
        <f t="shared" si="69"/>
        <v>0</v>
      </c>
      <c r="DZ170" s="537">
        <f t="shared" si="69"/>
        <v>0</v>
      </c>
      <c r="EA170" s="537">
        <f t="shared" si="69"/>
        <v>0</v>
      </c>
      <c r="EB170" s="537">
        <f t="shared" si="69"/>
        <v>0</v>
      </c>
      <c r="EC170" s="537">
        <f t="shared" si="69"/>
        <v>0</v>
      </c>
      <c r="ED170" s="537">
        <f t="shared" si="69"/>
        <v>0</v>
      </c>
      <c r="EE170" s="537">
        <f t="shared" si="69"/>
        <v>0</v>
      </c>
      <c r="EF170" s="537">
        <f t="shared" si="69"/>
        <v>0</v>
      </c>
      <c r="EG170" s="537">
        <f t="shared" si="69"/>
        <v>0</v>
      </c>
      <c r="EH170" s="537">
        <f t="shared" si="69"/>
        <v>0</v>
      </c>
      <c r="EI170" s="537">
        <f t="shared" si="69"/>
        <v>0</v>
      </c>
      <c r="EJ170" s="537">
        <f t="shared" si="69"/>
        <v>0</v>
      </c>
      <c r="EK170" s="537">
        <f t="shared" si="69"/>
        <v>0</v>
      </c>
      <c r="EL170" s="537">
        <f t="shared" si="69"/>
        <v>0</v>
      </c>
      <c r="EM170" s="537">
        <f t="shared" si="69"/>
        <v>0</v>
      </c>
      <c r="EN170" s="537">
        <f t="shared" si="69"/>
        <v>0</v>
      </c>
      <c r="EO170" s="537">
        <f t="shared" si="69"/>
        <v>0</v>
      </c>
      <c r="EP170" s="537">
        <f t="shared" si="69"/>
        <v>0</v>
      </c>
      <c r="EQ170" s="537">
        <f t="shared" si="69"/>
        <v>0</v>
      </c>
      <c r="ER170" s="537">
        <f t="shared" si="69"/>
        <v>0</v>
      </c>
      <c r="ES170" s="537">
        <f t="shared" si="69"/>
        <v>0</v>
      </c>
      <c r="ET170" s="537">
        <f t="shared" si="69"/>
        <v>0</v>
      </c>
      <c r="EU170" s="537">
        <f t="shared" si="69"/>
        <v>0</v>
      </c>
      <c r="EV170" s="537">
        <f t="shared" si="69"/>
        <v>0</v>
      </c>
      <c r="EW170" s="537">
        <f t="shared" si="69"/>
        <v>0</v>
      </c>
      <c r="EX170" s="537">
        <f t="shared" si="69"/>
        <v>0</v>
      </c>
      <c r="EY170" s="537">
        <f t="shared" si="69"/>
        <v>0</v>
      </c>
      <c r="EZ170" s="537">
        <f t="shared" si="69"/>
        <v>0</v>
      </c>
      <c r="FA170" s="537">
        <f t="shared" si="69"/>
        <v>0</v>
      </c>
      <c r="FB170" s="537">
        <f t="shared" si="69"/>
        <v>0</v>
      </c>
      <c r="FC170" s="537">
        <f t="shared" si="69"/>
        <v>0</v>
      </c>
      <c r="FD170" s="537">
        <f t="shared" si="69"/>
        <v>0</v>
      </c>
      <c r="FE170" s="537">
        <f t="shared" si="69"/>
        <v>0</v>
      </c>
      <c r="FF170" s="537">
        <f t="shared" si="69"/>
        <v>0</v>
      </c>
      <c r="FG170" s="537">
        <f t="shared" si="69"/>
        <v>0</v>
      </c>
      <c r="FH170" s="537">
        <f t="shared" si="69"/>
        <v>0</v>
      </c>
      <c r="FI170" s="537">
        <f t="shared" si="69"/>
        <v>0</v>
      </c>
      <c r="FJ170" s="537">
        <f t="shared" si="69"/>
        <v>0</v>
      </c>
      <c r="FK170" s="537">
        <f t="shared" si="69"/>
        <v>0</v>
      </c>
      <c r="FL170" s="537">
        <f t="shared" si="69"/>
        <v>0</v>
      </c>
      <c r="FM170" s="537">
        <f t="shared" si="69"/>
        <v>0</v>
      </c>
      <c r="FN170" s="537">
        <f t="shared" si="69"/>
        <v>0</v>
      </c>
      <c r="FO170" s="537">
        <f t="shared" si="69"/>
        <v>0</v>
      </c>
      <c r="FP170" s="537">
        <f t="shared" si="69"/>
        <v>0</v>
      </c>
      <c r="FQ170" s="537">
        <f t="shared" si="69"/>
        <v>0</v>
      </c>
      <c r="FR170" s="537">
        <f t="shared" si="69"/>
        <v>0</v>
      </c>
      <c r="FS170" s="537">
        <f t="shared" si="69"/>
        <v>0</v>
      </c>
      <c r="FT170" s="537">
        <f t="shared" si="69"/>
        <v>0</v>
      </c>
      <c r="FU170" s="537">
        <f t="shared" si="69"/>
        <v>0</v>
      </c>
      <c r="FV170" s="537">
        <f t="shared" si="69"/>
        <v>0</v>
      </c>
      <c r="FW170" s="537">
        <f t="shared" si="69"/>
        <v>0</v>
      </c>
      <c r="FX170" s="537">
        <f t="shared" si="69"/>
        <v>0</v>
      </c>
      <c r="FY170" s="537">
        <f t="shared" si="69"/>
        <v>0</v>
      </c>
      <c r="FZ170" s="537">
        <f t="shared" si="69"/>
        <v>0</v>
      </c>
      <c r="GA170" s="537">
        <f t="shared" si="69"/>
        <v>0</v>
      </c>
      <c r="GB170" s="537">
        <f t="shared" si="69"/>
        <v>0</v>
      </c>
      <c r="GC170" s="537">
        <f t="shared" si="69"/>
        <v>0</v>
      </c>
      <c r="GD170" s="537">
        <f t="shared" si="69"/>
        <v>0</v>
      </c>
      <c r="GE170" s="537">
        <f t="shared" si="69"/>
        <v>0</v>
      </c>
      <c r="GF170" s="537">
        <f t="shared" si="69"/>
        <v>0</v>
      </c>
      <c r="GG170" s="537">
        <f t="shared" si="69"/>
        <v>0</v>
      </c>
      <c r="GH170" s="537">
        <f t="shared" si="69"/>
        <v>0</v>
      </c>
      <c r="GI170" s="537">
        <f t="shared" si="69"/>
        <v>0</v>
      </c>
      <c r="GJ170" s="537">
        <f t="shared" si="69"/>
        <v>1</v>
      </c>
    </row>
    <row r="172" spans="5:7" ht="12.75">
      <c r="E172" s="546" t="str">
        <f>InpC!E$16</f>
        <v>Length of operating period</v>
      </c>
      <c r="F172" s="548">
        <f>InpC!F$16</f>
        <v>3</v>
      </c>
      <c r="G172" s="548" t="str">
        <f>InpC!G$16</f>
        <v>months</v>
      </c>
    </row>
    <row r="173" spans="5:7" ht="12.75">
      <c r="E173" s="546" t="str">
        <f>InpC!E$26</f>
        <v>Months in year</v>
      </c>
      <c r="F173" s="548">
        <f>InpC!F$26</f>
        <v>12</v>
      </c>
      <c r="G173" s="548" t="str">
        <f>InpC!G$26</f>
        <v>months</v>
      </c>
    </row>
    <row r="174" spans="5:7" ht="12.75">
      <c r="E174" s="535" t="s">
        <v>88</v>
      </c>
      <c r="F174" s="537">
        <f>$F172/$F173</f>
        <v>0.25</v>
      </c>
      <c r="G174" s="537" t="s">
        <v>89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42" operator="notEqual" stopIfTrue="1">
      <formula>0</formula>
    </cfRule>
    <cfRule type="cellIs" priority="2" dxfId="242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1"/>
    <outlinePr summaryBelow="0" summaryRight="0"/>
  </sheetPr>
  <dimension ref="A1:GJ28"/>
  <sheetViews>
    <sheetView showGridLines="0" defaultGridColor="0" zoomScale="85" zoomScaleNormal="85" colorId="22" workbookViewId="0" topLeftCell="A1">
      <pane xSplit="9" ySplit="5" topLeftCell="J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45" customWidth="1"/>
    <col min="3" max="3" width="1.28571428571429" style="363" customWidth="1"/>
    <col min="4" max="4" width="1.28571428571429" style="379" customWidth="1"/>
    <col min="5" max="5" width="40.5714285714286" style="360" customWidth="1"/>
    <col min="6" max="6" width="12.5714285714286" style="360" customWidth="1"/>
    <col min="7" max="8" width="11.5714285714286" style="360" customWidth="1"/>
    <col min="9" max="9" width="2.57142857142857" style="360" customWidth="1"/>
    <col min="10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Check - Base case 1</v>
      </c>
    </row>
    <row r="2" spans="1:9" ht="12.75">
      <c r="A2" s="320"/>
      <c r="B2" s="320"/>
      <c r="C2" s="392"/>
      <c r="D2" s="393"/>
      <c r="E2" s="320"/>
      <c r="F2" s="395">
        <f>$F9</f>
        <v>0</v>
      </c>
      <c r="G2" s="396" t="s">
        <v>39</v>
      </c>
      <c r="H2" s="320"/>
      <c r="I2" s="320"/>
    </row>
    <row r="3" spans="6:7" ht="12.75">
      <c r="F3" s="395">
        <f>$F21</f>
        <v>0</v>
      </c>
      <c r="G3" s="398" t="s">
        <v>40</v>
      </c>
    </row>
    <row r="4" spans="6:7" ht="12.75">
      <c r="F4"/>
      <c r="G4"/>
    </row>
    <row r="5" spans="6:8" ht="12.75">
      <c r="F5" s="401" t="s">
        <v>9</v>
      </c>
      <c r="G5" s="402" t="s">
        <v>10</v>
      </c>
      <c r="H5" s="345"/>
    </row>
    <row r="7" spans="1:1" ht="12.75">
      <c r="A7" s="534" t="s">
        <v>90</v>
      </c>
    </row>
    <row r="9" spans="5:7" ht="12.75">
      <c r="E9" s="535" t="s">
        <v>91</v>
      </c>
      <c r="F9" s="536">
        <f>SUM(F10:F16)</f>
        <v>0</v>
      </c>
      <c r="G9" s="537" t="s">
        <v>92</v>
      </c>
    </row>
    <row r="10" spans="1:192" ht="12.75">
      <c r="A10" s="538"/>
      <c r="B10" s="538"/>
      <c r="C10" s="538"/>
      <c r="D10" s="538"/>
      <c r="E10" s="538" t="s">
        <v>93</v>
      </c>
      <c r="F10" s="538" t="s">
        <v>94</v>
      </c>
      <c r="G10" s="538"/>
      <c r="H10" s="538"/>
      <c r="I10" s="538"/>
      <c r="J10" s="538"/>
      <c r="K10" s="538"/>
      <c r="L10" s="538"/>
      <c r="M10" s="538"/>
      <c r="N10" s="538"/>
      <c r="O10" s="538"/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8"/>
      <c r="AC10" s="538"/>
      <c r="AD10" s="538"/>
      <c r="AE10" s="538"/>
      <c r="AF10" s="538"/>
      <c r="AG10" s="538"/>
      <c r="AH10" s="538"/>
      <c r="AI10" s="538"/>
      <c r="AJ10" s="538"/>
      <c r="AK10" s="538"/>
      <c r="AL10" s="538"/>
      <c r="AM10" s="538"/>
      <c r="AN10" s="538"/>
      <c r="AO10" s="538"/>
      <c r="AP10" s="538"/>
      <c r="AQ10" s="538"/>
      <c r="AR10" s="538"/>
      <c r="AS10" s="538"/>
      <c r="AT10" s="538"/>
      <c r="AU10" s="538"/>
      <c r="AV10" s="538"/>
      <c r="AW10" s="538"/>
      <c r="AX10" s="538"/>
      <c r="AY10" s="538"/>
      <c r="AZ10" s="538"/>
      <c r="BA10" s="538"/>
      <c r="BB10" s="538"/>
      <c r="BC10" s="538"/>
      <c r="BD10" s="538"/>
      <c r="BE10" s="538"/>
      <c r="BF10" s="538"/>
      <c r="BG10" s="538"/>
      <c r="BH10" s="538"/>
      <c r="BI10" s="538"/>
      <c r="BJ10" s="538"/>
      <c r="BK10" s="538"/>
      <c r="BL10" s="538"/>
      <c r="BM10" s="538"/>
      <c r="BN10" s="538"/>
      <c r="BO10" s="538"/>
      <c r="BP10" s="538"/>
      <c r="BQ10" s="538"/>
      <c r="BR10" s="538"/>
      <c r="BS10" s="538"/>
      <c r="BT10" s="538"/>
      <c r="BU10" s="538"/>
      <c r="BV10" s="538"/>
      <c r="BW10" s="538"/>
      <c r="BX10" s="538"/>
      <c r="BY10" s="538"/>
      <c r="BZ10" s="538"/>
      <c r="CA10" s="538"/>
      <c r="CB10" s="538"/>
      <c r="CC10" s="538"/>
      <c r="CD10" s="538"/>
      <c r="CE10" s="538"/>
      <c r="CF10" s="538"/>
      <c r="CG10" s="538"/>
      <c r="CH10" s="538"/>
      <c r="CI10" s="538"/>
      <c r="CJ10" s="538"/>
      <c r="CK10" s="538"/>
      <c r="CL10" s="538"/>
      <c r="CM10" s="538"/>
      <c r="CN10" s="538"/>
      <c r="CO10" s="538"/>
      <c r="CP10" s="538"/>
      <c r="CQ10" s="538"/>
      <c r="CR10" s="538"/>
      <c r="CS10" s="538"/>
      <c r="CT10" s="538"/>
      <c r="CU10" s="538"/>
      <c r="CV10" s="538"/>
      <c r="CW10" s="538"/>
      <c r="CX10" s="538"/>
      <c r="CY10" s="538"/>
      <c r="CZ10" s="538"/>
      <c r="DA10" s="538"/>
      <c r="DB10" s="538"/>
      <c r="DC10" s="538"/>
      <c r="DD10" s="538"/>
      <c r="DE10" s="538"/>
      <c r="DF10" s="538"/>
      <c r="DG10" s="538"/>
      <c r="DH10" s="538"/>
      <c r="DI10" s="538"/>
      <c r="DJ10" s="538"/>
      <c r="DK10" s="538"/>
      <c r="DL10" s="538"/>
      <c r="DM10" s="538"/>
      <c r="DN10" s="538"/>
      <c r="DO10" s="538"/>
      <c r="DP10" s="538"/>
      <c r="DQ10" s="538"/>
      <c r="DR10" s="538"/>
      <c r="DS10" s="538"/>
      <c r="DT10" s="538"/>
      <c r="DU10" s="538"/>
      <c r="DV10" s="538"/>
      <c r="DW10" s="538"/>
      <c r="DX10" s="538"/>
      <c r="DY10" s="538"/>
      <c r="DZ10" s="538"/>
      <c r="EA10" s="538"/>
      <c r="EB10" s="538"/>
      <c r="EC10" s="538"/>
      <c r="ED10" s="538"/>
      <c r="EE10" s="538"/>
      <c r="EF10" s="538"/>
      <c r="EG10" s="538"/>
      <c r="EH10" s="538"/>
      <c r="EI10" s="538"/>
      <c r="EJ10" s="538"/>
      <c r="EK10" s="538"/>
      <c r="EL10" s="538"/>
      <c r="EM10" s="538"/>
      <c r="EN10" s="538"/>
      <c r="EO10" s="538"/>
      <c r="EP10" s="538"/>
      <c r="EQ10" s="538"/>
      <c r="ER10" s="538"/>
      <c r="ES10" s="538"/>
      <c r="ET10" s="538"/>
      <c r="EU10" s="538"/>
      <c r="EV10" s="538"/>
      <c r="EW10" s="538"/>
      <c r="EX10" s="538"/>
      <c r="EY10" s="538"/>
      <c r="EZ10" s="538"/>
      <c r="FA10" s="538"/>
      <c r="FB10" s="538"/>
      <c r="FC10" s="538"/>
      <c r="FD10" s="538"/>
      <c r="FE10" s="538"/>
      <c r="FF10" s="538"/>
      <c r="FG10" s="538"/>
      <c r="FH10" s="538"/>
      <c r="FI10" s="538"/>
      <c r="FJ10" s="538"/>
      <c r="FK10" s="538"/>
      <c r="FL10" s="538"/>
      <c r="FM10" s="538"/>
      <c r="FN10" s="538"/>
      <c r="FO10" s="538"/>
      <c r="FP10" s="538"/>
      <c r="FQ10" s="538"/>
      <c r="FR10" s="538"/>
      <c r="FS10" s="538"/>
      <c r="FT10" s="538"/>
      <c r="FU10" s="538"/>
      <c r="FV10" s="538"/>
      <c r="FW10" s="538"/>
      <c r="FX10" s="538"/>
      <c r="FY10" s="538"/>
      <c r="FZ10" s="538"/>
      <c r="GA10" s="538"/>
      <c r="GB10" s="538"/>
      <c r="GC10" s="538"/>
      <c r="GD10" s="538"/>
      <c r="GE10" s="538"/>
      <c r="GF10" s="538"/>
      <c r="GG10" s="538"/>
      <c r="GH10" s="538"/>
      <c r="GI10" s="538"/>
      <c r="GJ10" s="538"/>
    </row>
    <row r="16" spans="1:192" ht="12.75">
      <c r="A16" s="538"/>
      <c r="B16" s="538"/>
      <c r="C16" s="538"/>
      <c r="D16" s="538"/>
      <c r="E16" s="538" t="s">
        <v>93</v>
      </c>
      <c r="F16" s="538" t="s">
        <v>95</v>
      </c>
      <c r="G16" s="538"/>
      <c r="H16" s="538"/>
      <c r="I16" s="538"/>
      <c r="J16" s="538"/>
      <c r="K16" s="538"/>
      <c r="L16" s="538"/>
      <c r="M16" s="538"/>
      <c r="N16" s="538"/>
      <c r="O16" s="538"/>
      <c r="P16" s="538"/>
      <c r="Q16" s="538"/>
      <c r="R16" s="538"/>
      <c r="S16" s="538"/>
      <c r="T16" s="538"/>
      <c r="U16" s="538"/>
      <c r="V16" s="538"/>
      <c r="W16" s="538"/>
      <c r="X16" s="538"/>
      <c r="Y16" s="538"/>
      <c r="Z16" s="538"/>
      <c r="AA16" s="538"/>
      <c r="AB16" s="538"/>
      <c r="AC16" s="538"/>
      <c r="AD16" s="538"/>
      <c r="AE16" s="538"/>
      <c r="AF16" s="538"/>
      <c r="AG16" s="538"/>
      <c r="AH16" s="538"/>
      <c r="AI16" s="538"/>
      <c r="AJ16" s="538"/>
      <c r="AK16" s="538"/>
      <c r="AL16" s="538"/>
      <c r="AM16" s="538"/>
      <c r="AN16" s="538"/>
      <c r="AO16" s="538"/>
      <c r="AP16" s="538"/>
      <c r="AQ16" s="538"/>
      <c r="AR16" s="538"/>
      <c r="AS16" s="538"/>
      <c r="AT16" s="538"/>
      <c r="AU16" s="538"/>
      <c r="AV16" s="538"/>
      <c r="AW16" s="538"/>
      <c r="AX16" s="538"/>
      <c r="AY16" s="538"/>
      <c r="AZ16" s="538"/>
      <c r="BA16" s="538"/>
      <c r="BB16" s="538"/>
      <c r="BC16" s="538"/>
      <c r="BD16" s="538"/>
      <c r="BE16" s="538"/>
      <c r="BF16" s="538"/>
      <c r="BG16" s="538"/>
      <c r="BH16" s="538"/>
      <c r="BI16" s="538"/>
      <c r="BJ16" s="538"/>
      <c r="BK16" s="538"/>
      <c r="BL16" s="538"/>
      <c r="BM16" s="538"/>
      <c r="BN16" s="538"/>
      <c r="BO16" s="538"/>
      <c r="BP16" s="538"/>
      <c r="BQ16" s="538"/>
      <c r="BR16" s="538"/>
      <c r="BS16" s="538"/>
      <c r="BT16" s="538"/>
      <c r="BU16" s="538"/>
      <c r="BV16" s="538"/>
      <c r="BW16" s="538"/>
      <c r="BX16" s="538"/>
      <c r="BY16" s="538"/>
      <c r="BZ16" s="538"/>
      <c r="CA16" s="538"/>
      <c r="CB16" s="538"/>
      <c r="CC16" s="538"/>
      <c r="CD16" s="538"/>
      <c r="CE16" s="538"/>
      <c r="CF16" s="538"/>
      <c r="CG16" s="538"/>
      <c r="CH16" s="538"/>
      <c r="CI16" s="538"/>
      <c r="CJ16" s="538"/>
      <c r="CK16" s="538"/>
      <c r="CL16" s="538"/>
      <c r="CM16" s="538"/>
      <c r="CN16" s="538"/>
      <c r="CO16" s="538"/>
      <c r="CP16" s="538"/>
      <c r="CQ16" s="538"/>
      <c r="CR16" s="538"/>
      <c r="CS16" s="538"/>
      <c r="CT16" s="538"/>
      <c r="CU16" s="538"/>
      <c r="CV16" s="538"/>
      <c r="CW16" s="538"/>
      <c r="CX16" s="538"/>
      <c r="CY16" s="538"/>
      <c r="CZ16" s="538"/>
      <c r="DA16" s="538"/>
      <c r="DB16" s="538"/>
      <c r="DC16" s="538"/>
      <c r="DD16" s="538"/>
      <c r="DE16" s="538"/>
      <c r="DF16" s="538"/>
      <c r="DG16" s="538"/>
      <c r="DH16" s="538"/>
      <c r="DI16" s="538"/>
      <c r="DJ16" s="538"/>
      <c r="DK16" s="538"/>
      <c r="DL16" s="538"/>
      <c r="DM16" s="538"/>
      <c r="DN16" s="538"/>
      <c r="DO16" s="538"/>
      <c r="DP16" s="538"/>
      <c r="DQ16" s="538"/>
      <c r="DR16" s="538"/>
      <c r="DS16" s="538"/>
      <c r="DT16" s="538"/>
      <c r="DU16" s="538"/>
      <c r="DV16" s="538"/>
      <c r="DW16" s="538"/>
      <c r="DX16" s="538"/>
      <c r="DY16" s="538"/>
      <c r="DZ16" s="538"/>
      <c r="EA16" s="538"/>
      <c r="EB16" s="538"/>
      <c r="EC16" s="538"/>
      <c r="ED16" s="538"/>
      <c r="EE16" s="538"/>
      <c r="EF16" s="538"/>
      <c r="EG16" s="538"/>
      <c r="EH16" s="538"/>
      <c r="EI16" s="538"/>
      <c r="EJ16" s="538"/>
      <c r="EK16" s="538"/>
      <c r="EL16" s="538"/>
      <c r="EM16" s="538"/>
      <c r="EN16" s="538"/>
      <c r="EO16" s="538"/>
      <c r="EP16" s="538"/>
      <c r="EQ16" s="538"/>
      <c r="ER16" s="538"/>
      <c r="ES16" s="538"/>
      <c r="ET16" s="538"/>
      <c r="EU16" s="538"/>
      <c r="EV16" s="538"/>
      <c r="EW16" s="538"/>
      <c r="EX16" s="538"/>
      <c r="EY16" s="538"/>
      <c r="EZ16" s="538"/>
      <c r="FA16" s="538"/>
      <c r="FB16" s="538"/>
      <c r="FC16" s="538"/>
      <c r="FD16" s="538"/>
      <c r="FE16" s="538"/>
      <c r="FF16" s="538"/>
      <c r="FG16" s="538"/>
      <c r="FH16" s="538"/>
      <c r="FI16" s="538"/>
      <c r="FJ16" s="538"/>
      <c r="FK16" s="538"/>
      <c r="FL16" s="538"/>
      <c r="FM16" s="538"/>
      <c r="FN16" s="538"/>
      <c r="FO16" s="538"/>
      <c r="FP16" s="538"/>
      <c r="FQ16" s="538"/>
      <c r="FR16" s="538"/>
      <c r="FS16" s="538"/>
      <c r="FT16" s="538"/>
      <c r="FU16" s="538"/>
      <c r="FV16" s="538"/>
      <c r="FW16" s="538"/>
      <c r="FX16" s="538"/>
      <c r="FY16" s="538"/>
      <c r="FZ16" s="538"/>
      <c r="GA16" s="538"/>
      <c r="GB16" s="538"/>
      <c r="GC16" s="538"/>
      <c r="GD16" s="538"/>
      <c r="GE16" s="538"/>
      <c r="GF16" s="538"/>
      <c r="GG16" s="538"/>
      <c r="GH16" s="538"/>
      <c r="GI16" s="538"/>
      <c r="GJ16" s="538"/>
    </row>
    <row r="19" spans="1:1" ht="12.75">
      <c r="A19" s="534" t="s">
        <v>96</v>
      </c>
    </row>
    <row r="21" spans="5:7" ht="12.75">
      <c r="E21" s="535" t="s">
        <v>97</v>
      </c>
      <c r="F21" s="536">
        <f>SUM(F22:F28)</f>
        <v>0</v>
      </c>
      <c r="G21" s="537" t="s">
        <v>98</v>
      </c>
    </row>
    <row r="22" spans="1:192" ht="12.75">
      <c r="A22" s="538"/>
      <c r="B22" s="538"/>
      <c r="C22" s="538"/>
      <c r="D22" s="538"/>
      <c r="E22" s="538" t="s">
        <v>93</v>
      </c>
      <c r="F22" s="538" t="s">
        <v>94</v>
      </c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8"/>
      <c r="V22" s="538"/>
      <c r="W22" s="538"/>
      <c r="X22" s="538"/>
      <c r="Y22" s="538"/>
      <c r="Z22" s="538"/>
      <c r="AA22" s="538"/>
      <c r="AB22" s="538"/>
      <c r="AC22" s="538"/>
      <c r="AD22" s="538"/>
      <c r="AE22" s="538"/>
      <c r="AF22" s="538"/>
      <c r="AG22" s="538"/>
      <c r="AH22" s="538"/>
      <c r="AI22" s="538"/>
      <c r="AJ22" s="538"/>
      <c r="AK22" s="538"/>
      <c r="AL22" s="538"/>
      <c r="AM22" s="538"/>
      <c r="AN22" s="538"/>
      <c r="AO22" s="538"/>
      <c r="AP22" s="538"/>
      <c r="AQ22" s="538"/>
      <c r="AR22" s="538"/>
      <c r="AS22" s="538"/>
      <c r="AT22" s="538"/>
      <c r="AU22" s="538"/>
      <c r="AV22" s="538"/>
      <c r="AW22" s="538"/>
      <c r="AX22" s="538"/>
      <c r="AY22" s="538"/>
      <c r="AZ22" s="538"/>
      <c r="BA22" s="538"/>
      <c r="BB22" s="538"/>
      <c r="BC22" s="538"/>
      <c r="BD22" s="538"/>
      <c r="BE22" s="538"/>
      <c r="BF22" s="538"/>
      <c r="BG22" s="538"/>
      <c r="BH22" s="538"/>
      <c r="BI22" s="538"/>
      <c r="BJ22" s="538"/>
      <c r="BK22" s="538"/>
      <c r="BL22" s="538"/>
      <c r="BM22" s="538"/>
      <c r="BN22" s="538"/>
      <c r="BO22" s="538"/>
      <c r="BP22" s="538"/>
      <c r="BQ22" s="538"/>
      <c r="BR22" s="538"/>
      <c r="BS22" s="538"/>
      <c r="BT22" s="538"/>
      <c r="BU22" s="538"/>
      <c r="BV22" s="538"/>
      <c r="BW22" s="538"/>
      <c r="BX22" s="538"/>
      <c r="BY22" s="538"/>
      <c r="BZ22" s="538"/>
      <c r="CA22" s="538"/>
      <c r="CB22" s="538"/>
      <c r="CC22" s="538"/>
      <c r="CD22" s="538"/>
      <c r="CE22" s="538"/>
      <c r="CF22" s="538"/>
      <c r="CG22" s="538"/>
      <c r="CH22" s="538"/>
      <c r="CI22" s="538"/>
      <c r="CJ22" s="538"/>
      <c r="CK22" s="538"/>
      <c r="CL22" s="538"/>
      <c r="CM22" s="538"/>
      <c r="CN22" s="538"/>
      <c r="CO22" s="538"/>
      <c r="CP22" s="538"/>
      <c r="CQ22" s="538"/>
      <c r="CR22" s="538"/>
      <c r="CS22" s="538"/>
      <c r="CT22" s="538"/>
      <c r="CU22" s="538"/>
      <c r="CV22" s="538"/>
      <c r="CW22" s="538"/>
      <c r="CX22" s="538"/>
      <c r="CY22" s="538"/>
      <c r="CZ22" s="538"/>
      <c r="DA22" s="538"/>
      <c r="DB22" s="538"/>
      <c r="DC22" s="538"/>
      <c r="DD22" s="538"/>
      <c r="DE22" s="538"/>
      <c r="DF22" s="538"/>
      <c r="DG22" s="538"/>
      <c r="DH22" s="538"/>
      <c r="DI22" s="538"/>
      <c r="DJ22" s="538"/>
      <c r="DK22" s="538"/>
      <c r="DL22" s="538"/>
      <c r="DM22" s="538"/>
      <c r="DN22" s="538"/>
      <c r="DO22" s="538"/>
      <c r="DP22" s="538"/>
      <c r="DQ22" s="538"/>
      <c r="DR22" s="538"/>
      <c r="DS22" s="538"/>
      <c r="DT22" s="538"/>
      <c r="DU22" s="538"/>
      <c r="DV22" s="538"/>
      <c r="DW22" s="538"/>
      <c r="DX22" s="538"/>
      <c r="DY22" s="538"/>
      <c r="DZ22" s="538"/>
      <c r="EA22" s="538"/>
      <c r="EB22" s="538"/>
      <c r="EC22" s="538"/>
      <c r="ED22" s="538"/>
      <c r="EE22" s="538"/>
      <c r="EF22" s="538"/>
      <c r="EG22" s="538"/>
      <c r="EH22" s="538"/>
      <c r="EI22" s="538"/>
      <c r="EJ22" s="538"/>
      <c r="EK22" s="538"/>
      <c r="EL22" s="538"/>
      <c r="EM22" s="538"/>
      <c r="EN22" s="538"/>
      <c r="EO22" s="538"/>
      <c r="EP22" s="538"/>
      <c r="EQ22" s="538"/>
      <c r="ER22" s="538"/>
      <c r="ES22" s="538"/>
      <c r="ET22" s="538"/>
      <c r="EU22" s="538"/>
      <c r="EV22" s="538"/>
      <c r="EW22" s="538"/>
      <c r="EX22" s="538"/>
      <c r="EY22" s="538"/>
      <c r="EZ22" s="538"/>
      <c r="FA22" s="538"/>
      <c r="FB22" s="538"/>
      <c r="FC22" s="538"/>
      <c r="FD22" s="538"/>
      <c r="FE22" s="538"/>
      <c r="FF22" s="538"/>
      <c r="FG22" s="538"/>
      <c r="FH22" s="538"/>
      <c r="FI22" s="538"/>
      <c r="FJ22" s="538"/>
      <c r="FK22" s="538"/>
      <c r="FL22" s="538"/>
      <c r="FM22" s="538"/>
      <c r="FN22" s="538"/>
      <c r="FO22" s="538"/>
      <c r="FP22" s="538"/>
      <c r="FQ22" s="538"/>
      <c r="FR22" s="538"/>
      <c r="FS22" s="538"/>
      <c r="FT22" s="538"/>
      <c r="FU22" s="538"/>
      <c r="FV22" s="538"/>
      <c r="FW22" s="538"/>
      <c r="FX22" s="538"/>
      <c r="FY22" s="538"/>
      <c r="FZ22" s="538"/>
      <c r="GA22" s="538"/>
      <c r="GB22" s="538"/>
      <c r="GC22" s="538"/>
      <c r="GD22" s="538"/>
      <c r="GE22" s="538"/>
      <c r="GF22" s="538"/>
      <c r="GG22" s="538"/>
      <c r="GH22" s="538"/>
      <c r="GI22" s="538"/>
      <c r="GJ22" s="538"/>
    </row>
    <row r="28" spans="1:192" ht="12.75">
      <c r="A28" s="538"/>
      <c r="B28" s="538"/>
      <c r="C28" s="538"/>
      <c r="D28" s="538"/>
      <c r="E28" s="538" t="s">
        <v>93</v>
      </c>
      <c r="F28" s="538" t="s">
        <v>95</v>
      </c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8"/>
      <c r="V28" s="538"/>
      <c r="W28" s="538"/>
      <c r="X28" s="538"/>
      <c r="Y28" s="538"/>
      <c r="Z28" s="538"/>
      <c r="AA28" s="538"/>
      <c r="AB28" s="538"/>
      <c r="AC28" s="538"/>
      <c r="AD28" s="538"/>
      <c r="AE28" s="538"/>
      <c r="AF28" s="538"/>
      <c r="AG28" s="538"/>
      <c r="AH28" s="538"/>
      <c r="AI28" s="538"/>
      <c r="AJ28" s="538"/>
      <c r="AK28" s="538"/>
      <c r="AL28" s="538"/>
      <c r="AM28" s="538"/>
      <c r="AN28" s="538"/>
      <c r="AO28" s="538"/>
      <c r="AP28" s="538"/>
      <c r="AQ28" s="538"/>
      <c r="AR28" s="538"/>
      <c r="AS28" s="538"/>
      <c r="AT28" s="538"/>
      <c r="AU28" s="538"/>
      <c r="AV28" s="538"/>
      <c r="AW28" s="538"/>
      <c r="AX28" s="538"/>
      <c r="AY28" s="538"/>
      <c r="AZ28" s="538"/>
      <c r="BA28" s="538"/>
      <c r="BB28" s="538"/>
      <c r="BC28" s="538"/>
      <c r="BD28" s="538"/>
      <c r="BE28" s="538"/>
      <c r="BF28" s="538"/>
      <c r="BG28" s="538"/>
      <c r="BH28" s="538"/>
      <c r="BI28" s="538"/>
      <c r="BJ28" s="538"/>
      <c r="BK28" s="538"/>
      <c r="BL28" s="538"/>
      <c r="BM28" s="538"/>
      <c r="BN28" s="538"/>
      <c r="BO28" s="538"/>
      <c r="BP28" s="538"/>
      <c r="BQ28" s="538"/>
      <c r="BR28" s="538"/>
      <c r="BS28" s="538"/>
      <c r="BT28" s="538"/>
      <c r="BU28" s="538"/>
      <c r="BV28" s="538"/>
      <c r="BW28" s="538"/>
      <c r="BX28" s="538"/>
      <c r="BY28" s="538"/>
      <c r="BZ28" s="538"/>
      <c r="CA28" s="538"/>
      <c r="CB28" s="538"/>
      <c r="CC28" s="538"/>
      <c r="CD28" s="538"/>
      <c r="CE28" s="538"/>
      <c r="CF28" s="538"/>
      <c r="CG28" s="538"/>
      <c r="CH28" s="538"/>
      <c r="CI28" s="538"/>
      <c r="CJ28" s="538"/>
      <c r="CK28" s="538"/>
      <c r="CL28" s="538"/>
      <c r="CM28" s="538"/>
      <c r="CN28" s="538"/>
      <c r="CO28" s="538"/>
      <c r="CP28" s="538"/>
      <c r="CQ28" s="538"/>
      <c r="CR28" s="538"/>
      <c r="CS28" s="538"/>
      <c r="CT28" s="538"/>
      <c r="CU28" s="538"/>
      <c r="CV28" s="538"/>
      <c r="CW28" s="538"/>
      <c r="CX28" s="538"/>
      <c r="CY28" s="538"/>
      <c r="CZ28" s="538"/>
      <c r="DA28" s="538"/>
      <c r="DB28" s="538"/>
      <c r="DC28" s="538"/>
      <c r="DD28" s="538"/>
      <c r="DE28" s="538"/>
      <c r="DF28" s="538"/>
      <c r="DG28" s="538"/>
      <c r="DH28" s="538"/>
      <c r="DI28" s="538"/>
      <c r="DJ28" s="538"/>
      <c r="DK28" s="538"/>
      <c r="DL28" s="538"/>
      <c r="DM28" s="538"/>
      <c r="DN28" s="538"/>
      <c r="DO28" s="538"/>
      <c r="DP28" s="538"/>
      <c r="DQ28" s="538"/>
      <c r="DR28" s="538"/>
      <c r="DS28" s="538"/>
      <c r="DT28" s="538"/>
      <c r="DU28" s="538"/>
      <c r="DV28" s="538"/>
      <c r="DW28" s="538"/>
      <c r="DX28" s="538"/>
      <c r="DY28" s="538"/>
      <c r="DZ28" s="538"/>
      <c r="EA28" s="538"/>
      <c r="EB28" s="538"/>
      <c r="EC28" s="538"/>
      <c r="ED28" s="538"/>
      <c r="EE28" s="538"/>
      <c r="EF28" s="538"/>
      <c r="EG28" s="538"/>
      <c r="EH28" s="538"/>
      <c r="EI28" s="538"/>
      <c r="EJ28" s="538"/>
      <c r="EK28" s="538"/>
      <c r="EL28" s="538"/>
      <c r="EM28" s="538"/>
      <c r="EN28" s="538"/>
      <c r="EO28" s="538"/>
      <c r="EP28" s="538"/>
      <c r="EQ28" s="538"/>
      <c r="ER28" s="538"/>
      <c r="ES28" s="538"/>
      <c r="ET28" s="538"/>
      <c r="EU28" s="538"/>
      <c r="EV28" s="538"/>
      <c r="EW28" s="538"/>
      <c r="EX28" s="538"/>
      <c r="EY28" s="538"/>
      <c r="EZ28" s="538"/>
      <c r="FA28" s="538"/>
      <c r="FB28" s="538"/>
      <c r="FC28" s="538"/>
      <c r="FD28" s="538"/>
      <c r="FE28" s="538"/>
      <c r="FF28" s="538"/>
      <c r="FG28" s="538"/>
      <c r="FH28" s="538"/>
      <c r="FI28" s="538"/>
      <c r="FJ28" s="538"/>
      <c r="FK28" s="538"/>
      <c r="FL28" s="538"/>
      <c r="FM28" s="538"/>
      <c r="FN28" s="538"/>
      <c r="FO28" s="538"/>
      <c r="FP28" s="538"/>
      <c r="FQ28" s="538"/>
      <c r="FR28" s="538"/>
      <c r="FS28" s="538"/>
      <c r="FT28" s="538"/>
      <c r="FU28" s="538"/>
      <c r="FV28" s="538"/>
      <c r="FW28" s="538"/>
      <c r="FX28" s="538"/>
      <c r="FY28" s="538"/>
      <c r="FZ28" s="538"/>
      <c r="GA28" s="538"/>
      <c r="GB28" s="538"/>
      <c r="GC28" s="538"/>
      <c r="GD28" s="538"/>
      <c r="GE28" s="538"/>
      <c r="GF28" s="538"/>
      <c r="GG28" s="538"/>
      <c r="GH28" s="538"/>
      <c r="GI28" s="538"/>
      <c r="GJ28" s="538"/>
    </row>
  </sheetData>
  <conditionalFormatting sqref="F2:F3">
    <cfRule type="cellIs" priority="25" dxfId="242" operator="notEqual" stopIfTrue="1">
      <formula>0</formula>
    </cfRule>
    <cfRule type="cellIs" priority="26" dxfId="242" operator="equal" stopIfTrue="1">
      <formula>""</formula>
    </cfRule>
    <cfRule type="cellIs" priority="27" dxfId="240" operator="notEqual" stopIfTrue="1">
      <formula>0</formula>
    </cfRule>
    <cfRule type="cellIs" priority="28" dxfId="240" operator="equal" stopIfTrue="1">
      <formula>""</formula>
    </cfRule>
  </conditionalFormatting>
  <conditionalFormatting sqref="F9">
    <cfRule type="cellIs" priority="1" dxfId="242" operator="notEqual" stopIfTrue="1">
      <formula>0</formula>
    </cfRule>
    <cfRule type="cellIs" priority="2" dxfId="242" operator="equal" stopIfTrue="1">
      <formula>""</formula>
    </cfRule>
  </conditionalFormatting>
  <conditionalFormatting sqref="F21">
    <cfRule type="cellIs" priority="3" dxfId="242" operator="notEqual" stopIfTrue="1">
      <formula>0</formula>
    </cfRule>
    <cfRule type="cellIs" priority="4" dxfId="242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<?xml version="1.0" encoding="utf-8"?>
<config xmlns="urn:cellori:config" format="2">schema = 1
# The FAST starter's model — the build skill's step-2 model.toml, the model
# every `cellori-dev new` begins from. make_starter.ps1 lands it on the hybrid
# start template, pushes once, and ships the result as
# standards/fast/fast_starter_v01.xlsm. Minimal on purpose: every extra key is
# a rung of the refusal ladder (cellori-step-build-from-plan, step 2).
[standard]
uid = "fast"                                 # push writes rev/hash here itself
rev = 9
hash = "sha256:8e6d4b4b738f36728babcd523eb9f110bc317b7d8bb309f0321c2e452b6d718b"
[workbook]
header_scheme         = "quarterly-banner"   # a monthly or hybrid spine wears the quarterly banner
timeseries_end_column = "GJ"                 # the hybrid template's own span; a model sets J + periods - 1
# The scenario ribbon on InpC: three base cases in K:M (the client's case is
# 1) and two scenarios in O:P; J, N and Q are the bands' structural blanks.
# `infrastructure` is not optional: every picker reads the selector helpers
# outside its own row, and without the key the closing pull renders every
# InpC input as a raw row.
[[sheet]]
name = "InpC"
  [sheet.scenario]
  active_ref         = "InpC!$F$4"
  active_ref_options = ["1", "2", "3", "4", "5"]
  active_col         = "F"
  check_col          = "I"
  base_span          = "J:N"
  scenario_span      = "O:Q"
  base_case_cols     = "K:M"
  scenario_case_cols = "O:P"
  infrastructure     = ["2:9", "I:I"]
</config>
</file>

<file path=customXml/itemProps1.xml><?xml version="1.0" encoding="utf-8"?>
<ds:datastoreItem xmlns:ds="http://schemas.openxmlformats.org/officeDocument/2006/customXml" ds:itemID="{7C3A5E10-9B42-4C8E-A1D0-5CE110C0F216}">
  <ds:schemaRefs>
    <ds:schemaRef ds:uri="urn:cellori:confi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 Wilcockson</dc:creator>
  <cp:keywords/>
  <dc:description/>
  <cp:lastModifiedBy>Dan Wilcockson</cp:lastModifiedBy>
  <cp:lastPrinted>2024-01-12T15:11:42Z</cp:lastPrinted>
  <dcterms:created xsi:type="dcterms:W3CDTF">2004-05-12T17:06:52Z</dcterms:created>
  <dcterms:modified xsi:type="dcterms:W3CDTF">2026-08-29T15:44:33Z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0x010100B75A5F3592EEBD438CF30FBF6F6ED376</vt:lpwstr>
  </property>
</Properties>
</file>